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MI-III 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i val="1"/>
      <sz val="9"/>
    </font>
    <font>
      <name val="Calibri"/>
      <b val="1"/>
      <color rgb="001F4E79"/>
      <sz val="11"/>
    </font>
    <font>
      <name val="Calibri"/>
      <b val="1"/>
      <color rgb="00FFFFFF"/>
      <sz val="9"/>
    </font>
    <font>
      <b val="1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4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5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5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7" customWidth="1" min="4" max="4"/>
    <col width="8" customWidth="1" min="5" max="5"/>
    <col width="6" customWidth="1" min="6" max="6"/>
    <col width="6" customWidth="1" min="7" max="7"/>
    <col width="5" customWidth="1" min="8" max="8"/>
    <col width="5" customWidth="1" min="9" max="9"/>
    <col width="7" customWidth="1" min="10" max="10"/>
    <col width="13" customWidth="1" min="11" max="11"/>
    <col width="3" customWidth="1" min="12" max="12"/>
    <col width="8" customWidth="1" min="13" max="13"/>
    <col width="8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</cols>
  <sheetData>
    <row r="1">
      <c r="A1" s="1" t="inlineStr">
        <is>
          <t>MCMI-III COMPLETE SCORING TOOL</t>
        </is>
      </c>
      <c r="P1" t="inlineStr">
        <is>
          <t>Raw</t>
        </is>
      </c>
      <c r="Q1" t="inlineStr">
        <is>
          <t>1</t>
        </is>
      </c>
      <c r="R1" t="inlineStr">
        <is>
          <t>2A</t>
        </is>
      </c>
      <c r="S1" t="inlineStr">
        <is>
          <t>2B</t>
        </is>
      </c>
      <c r="T1" t="inlineStr">
        <is>
          <t>3</t>
        </is>
      </c>
      <c r="U1" t="inlineStr">
        <is>
          <t>4</t>
        </is>
      </c>
      <c r="V1" t="inlineStr">
        <is>
          <t>5</t>
        </is>
      </c>
      <c r="W1" t="inlineStr">
        <is>
          <t>6A</t>
        </is>
      </c>
      <c r="X1" t="inlineStr">
        <is>
          <t>6B</t>
        </is>
      </c>
      <c r="Y1" t="inlineStr">
        <is>
          <t>7</t>
        </is>
      </c>
      <c r="Z1" t="inlineStr">
        <is>
          <t>8A</t>
        </is>
      </c>
      <c r="AA1" t="inlineStr">
        <is>
          <t>8B</t>
        </is>
      </c>
      <c r="AB1" t="inlineStr">
        <is>
          <t>S</t>
        </is>
      </c>
      <c r="AC1" t="inlineStr">
        <is>
          <t>C</t>
        </is>
      </c>
      <c r="AD1" t="inlineStr">
        <is>
          <t>P</t>
        </is>
      </c>
      <c r="AE1" t="inlineStr">
        <is>
          <t>A</t>
        </is>
      </c>
      <c r="AF1" t="inlineStr">
        <is>
          <t>H</t>
        </is>
      </c>
      <c r="AG1" t="inlineStr">
        <is>
          <t>N</t>
        </is>
      </c>
      <c r="AH1" t="inlineStr">
        <is>
          <t>D</t>
        </is>
      </c>
      <c r="AI1" t="inlineStr">
        <is>
          <t>B</t>
        </is>
      </c>
      <c r="AJ1" t="inlineStr">
        <is>
          <t>T</t>
        </is>
      </c>
      <c r="AK1" t="inlineStr">
        <is>
          <t>R</t>
        </is>
      </c>
      <c r="AL1" t="inlineStr">
        <is>
          <t>SS</t>
        </is>
      </c>
      <c r="AM1" t="inlineStr">
        <is>
          <t>CC</t>
        </is>
      </c>
      <c r="AN1" t="inlineStr">
        <is>
          <t>PP</t>
        </is>
      </c>
      <c r="AO1" t="inlineStr">
        <is>
          <t>Y</t>
        </is>
      </c>
      <c r="AP1" t="inlineStr">
        <is>
          <t>Z</t>
        </is>
      </c>
      <c r="AR1" t="inlineStr">
        <is>
          <t>X_Raw</t>
        </is>
      </c>
      <c r="AS1" t="inlineStr">
        <is>
          <t>X_BR</t>
        </is>
      </c>
      <c r="AU1" t="inlineStr">
        <is>
          <t>X_Raw_D</t>
        </is>
      </c>
      <c r="AV1" t="inlineStr">
        <is>
          <t>Adj_18B</t>
        </is>
      </c>
      <c r="AW1" t="inlineStr">
        <is>
          <t>Adj_SPP</t>
        </is>
      </c>
      <c r="AY1" t="inlineStr">
        <is>
          <t>AD_Val</t>
        </is>
      </c>
      <c r="AZ1" t="inlineStr">
        <is>
          <t>Adj_2AS</t>
        </is>
      </c>
      <c r="BB1" t="inlineStr">
        <is>
          <t>AD_Val2</t>
        </is>
      </c>
      <c r="BC1" t="inlineStr">
        <is>
          <t>Adj_2B8BC</t>
        </is>
      </c>
    </row>
    <row r="2">
      <c r="A2" s="2" t="inlineStr">
        <is>
          <t>Enter 1=TRUE or 0=FALSE for each item. Scoring is automatic.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R2" t="n">
        <v>34</v>
      </c>
      <c r="AS2" t="n">
        <v>0</v>
      </c>
      <c r="AU2" t="n">
        <v>0</v>
      </c>
      <c r="AV2" t="n">
        <v>20</v>
      </c>
      <c r="AW2" t="n">
        <v>10</v>
      </c>
      <c r="AY2" t="n">
        <v>0</v>
      </c>
      <c r="AZ2" t="n">
        <v>-1</v>
      </c>
      <c r="BB2" t="n">
        <v>0</v>
      </c>
      <c r="BC2" t="n">
        <v>-1</v>
      </c>
    </row>
    <row r="3">
      <c r="P3" t="n">
        <v>1</v>
      </c>
      <c r="Q3" t="n">
        <v>12</v>
      </c>
      <c r="R3" t="n">
        <v>12</v>
      </c>
      <c r="S3" t="n">
        <v>10</v>
      </c>
      <c r="T3" t="n">
        <v>10</v>
      </c>
      <c r="U3" t="n">
        <v>4</v>
      </c>
      <c r="V3" t="n">
        <v>5</v>
      </c>
      <c r="W3" t="n">
        <v>12</v>
      </c>
      <c r="X3" t="n">
        <v>12</v>
      </c>
      <c r="Y3" t="n">
        <v>4</v>
      </c>
      <c r="Z3" t="n">
        <v>10</v>
      </c>
      <c r="AA3" t="n">
        <v>20</v>
      </c>
      <c r="AB3" t="n">
        <v>20</v>
      </c>
      <c r="AC3" t="n">
        <v>12</v>
      </c>
      <c r="AD3" t="n">
        <v>15</v>
      </c>
      <c r="AE3" t="n">
        <v>20</v>
      </c>
      <c r="AF3" t="n">
        <v>15</v>
      </c>
      <c r="AG3" t="n">
        <v>12</v>
      </c>
      <c r="AH3" t="n">
        <v>12</v>
      </c>
      <c r="AI3" t="n">
        <v>20</v>
      </c>
      <c r="AJ3" t="n">
        <v>20</v>
      </c>
      <c r="AK3" t="n">
        <v>15</v>
      </c>
      <c r="AL3" t="n">
        <v>15</v>
      </c>
      <c r="AM3" t="n">
        <v>15</v>
      </c>
      <c r="AN3" t="n">
        <v>30</v>
      </c>
      <c r="AO3" t="n">
        <v>5</v>
      </c>
      <c r="AP3" t="n">
        <v>18</v>
      </c>
      <c r="AR3" t="n">
        <v>35</v>
      </c>
      <c r="AS3" t="n">
        <v>0</v>
      </c>
      <c r="AU3" t="n">
        <v>1</v>
      </c>
      <c r="AV3" t="n">
        <v>20</v>
      </c>
      <c r="AW3" t="n">
        <v>10</v>
      </c>
      <c r="AY3" t="n">
        <v>1</v>
      </c>
      <c r="AZ3" t="n">
        <v>-1</v>
      </c>
      <c r="BB3" t="n">
        <v>1</v>
      </c>
      <c r="BC3" t="n">
        <v>-1</v>
      </c>
    </row>
    <row r="4">
      <c r="A4" t="inlineStr">
        <is>
          <t>Patient:</t>
        </is>
      </c>
      <c r="B4" s="3" t="n"/>
      <c r="D4" t="inlineStr">
        <is>
          <t>Date:</t>
        </is>
      </c>
      <c r="E4" s="3" t="n"/>
      <c r="G4" t="inlineStr">
        <is>
          <t>Age:</t>
        </is>
      </c>
      <c r="H4" s="3" t="n"/>
      <c r="P4" t="n">
        <v>2</v>
      </c>
      <c r="Q4" t="n">
        <v>24</v>
      </c>
      <c r="R4" t="n">
        <v>24</v>
      </c>
      <c r="S4" t="n">
        <v>20</v>
      </c>
      <c r="T4" t="n">
        <v>20</v>
      </c>
      <c r="U4" t="n">
        <v>8</v>
      </c>
      <c r="V4" t="n">
        <v>10</v>
      </c>
      <c r="W4" t="n">
        <v>24</v>
      </c>
      <c r="X4" t="n">
        <v>24</v>
      </c>
      <c r="Y4" t="n">
        <v>8</v>
      </c>
      <c r="Z4" t="n">
        <v>20</v>
      </c>
      <c r="AA4" t="n">
        <v>40</v>
      </c>
      <c r="AB4" t="n">
        <v>40</v>
      </c>
      <c r="AC4" t="n">
        <v>24</v>
      </c>
      <c r="AD4" t="n">
        <v>30</v>
      </c>
      <c r="AE4" t="n">
        <v>40</v>
      </c>
      <c r="AF4" t="n">
        <v>30</v>
      </c>
      <c r="AG4" t="n">
        <v>24</v>
      </c>
      <c r="AH4" t="n">
        <v>24</v>
      </c>
      <c r="AI4" t="n">
        <v>40</v>
      </c>
      <c r="AJ4" t="n">
        <v>40</v>
      </c>
      <c r="AK4" t="n">
        <v>30</v>
      </c>
      <c r="AL4" t="n">
        <v>30</v>
      </c>
      <c r="AM4" t="n">
        <v>30</v>
      </c>
      <c r="AN4" t="n">
        <v>60</v>
      </c>
      <c r="AO4" t="n">
        <v>10</v>
      </c>
      <c r="AP4" t="n">
        <v>35</v>
      </c>
      <c r="AR4" t="n">
        <v>36</v>
      </c>
      <c r="AS4" t="n">
        <v>0</v>
      </c>
      <c r="AU4" t="n">
        <v>2</v>
      </c>
      <c r="AV4" t="n">
        <v>20</v>
      </c>
      <c r="AW4" t="n">
        <v>10</v>
      </c>
      <c r="AY4" t="n">
        <v>2</v>
      </c>
      <c r="AZ4" t="n">
        <v>-1</v>
      </c>
      <c r="BB4" t="n">
        <v>2</v>
      </c>
      <c r="BC4" t="n">
        <v>-1</v>
      </c>
    </row>
    <row r="5">
      <c r="A5" t="inlineStr">
        <is>
          <t>Inpatient (Y/N):</t>
        </is>
      </c>
      <c r="B5" s="3" t="n"/>
      <c r="D5" t="inlineStr">
        <is>
          <t>Axis I weeks:</t>
        </is>
      </c>
      <c r="E5" s="3" t="n"/>
      <c r="G5" t="inlineStr">
        <is>
          <t>Gender:</t>
        </is>
      </c>
      <c r="H5" s="3" t="n"/>
      <c r="P5" t="n">
        <v>3</v>
      </c>
      <c r="Q5" t="n">
        <v>36</v>
      </c>
      <c r="R5" t="n">
        <v>36</v>
      </c>
      <c r="S5" t="n">
        <v>30</v>
      </c>
      <c r="T5" t="n">
        <v>30</v>
      </c>
      <c r="U5" t="n">
        <v>12</v>
      </c>
      <c r="V5" t="n">
        <v>15</v>
      </c>
      <c r="W5" t="n">
        <v>36</v>
      </c>
      <c r="X5" t="n">
        <v>36</v>
      </c>
      <c r="Y5" t="n">
        <v>12</v>
      </c>
      <c r="Z5" t="n">
        <v>30</v>
      </c>
      <c r="AA5" t="n">
        <v>60</v>
      </c>
      <c r="AB5" t="n">
        <v>60</v>
      </c>
      <c r="AC5" t="n">
        <v>36</v>
      </c>
      <c r="AD5" t="n">
        <v>45</v>
      </c>
      <c r="AE5" t="n">
        <v>60</v>
      </c>
      <c r="AF5" t="n">
        <v>45</v>
      </c>
      <c r="AG5" t="n">
        <v>36</v>
      </c>
      <c r="AH5" t="n">
        <v>36</v>
      </c>
      <c r="AI5" t="n">
        <v>60</v>
      </c>
      <c r="AJ5" t="n">
        <v>60</v>
      </c>
      <c r="AK5" t="n">
        <v>45</v>
      </c>
      <c r="AL5" t="n">
        <v>45</v>
      </c>
      <c r="AM5" t="n">
        <v>45</v>
      </c>
      <c r="AN5" t="n">
        <v>62</v>
      </c>
      <c r="AO5" t="n">
        <v>15</v>
      </c>
      <c r="AP5" t="n">
        <v>38</v>
      </c>
      <c r="AR5" t="n">
        <v>37</v>
      </c>
      <c r="AS5" t="n">
        <v>0</v>
      </c>
      <c r="AU5" t="n">
        <v>3</v>
      </c>
      <c r="AV5" t="n">
        <v>20</v>
      </c>
      <c r="AW5" t="n">
        <v>10</v>
      </c>
      <c r="AY5" t="n">
        <v>3</v>
      </c>
      <c r="AZ5" t="n">
        <v>-1</v>
      </c>
      <c r="BB5" t="n">
        <v>3</v>
      </c>
      <c r="BC5" t="n">
        <v>-1</v>
      </c>
    </row>
    <row r="6">
      <c r="P6" t="n">
        <v>4</v>
      </c>
      <c r="Q6" t="n">
        <v>48</v>
      </c>
      <c r="R6" t="n">
        <v>48</v>
      </c>
      <c r="S6" t="n">
        <v>40</v>
      </c>
      <c r="T6" t="n">
        <v>40</v>
      </c>
      <c r="U6" t="n">
        <v>16</v>
      </c>
      <c r="V6" t="n">
        <v>20</v>
      </c>
      <c r="W6" t="n">
        <v>48</v>
      </c>
      <c r="X6" t="n">
        <v>48</v>
      </c>
      <c r="Y6" t="n">
        <v>16</v>
      </c>
      <c r="Z6" t="n">
        <v>40</v>
      </c>
      <c r="AA6" t="n">
        <v>63</v>
      </c>
      <c r="AB6" t="n">
        <v>62</v>
      </c>
      <c r="AC6" t="n">
        <v>48</v>
      </c>
      <c r="AD6" t="n">
        <v>60</v>
      </c>
      <c r="AE6" t="n">
        <v>75</v>
      </c>
      <c r="AF6" t="n">
        <v>60</v>
      </c>
      <c r="AG6" t="n">
        <v>48</v>
      </c>
      <c r="AH6" t="n">
        <v>48</v>
      </c>
      <c r="AI6" t="n">
        <v>63</v>
      </c>
      <c r="AJ6" t="n">
        <v>63</v>
      </c>
      <c r="AK6" t="n">
        <v>60</v>
      </c>
      <c r="AL6" t="n">
        <v>60</v>
      </c>
      <c r="AM6" t="n">
        <v>60</v>
      </c>
      <c r="AN6" t="n">
        <v>65</v>
      </c>
      <c r="AO6" t="n">
        <v>20</v>
      </c>
      <c r="AP6" t="n">
        <v>40</v>
      </c>
      <c r="AR6" t="n">
        <v>38</v>
      </c>
      <c r="AS6" t="n">
        <v>0</v>
      </c>
      <c r="AU6" t="n">
        <v>4</v>
      </c>
      <c r="AV6" t="n">
        <v>20</v>
      </c>
      <c r="AW6" t="n">
        <v>10</v>
      </c>
      <c r="AY6" t="n">
        <v>4</v>
      </c>
      <c r="AZ6" t="n">
        <v>-1</v>
      </c>
      <c r="BB6" t="n">
        <v>4</v>
      </c>
      <c r="BC6" t="n">
        <v>-1</v>
      </c>
    </row>
    <row r="7">
      <c r="A7" s="4" t="inlineStr">
        <is>
          <t>ITEM RESPONSES</t>
        </is>
      </c>
      <c r="P7" t="n">
        <v>5</v>
      </c>
      <c r="Q7" t="n">
        <v>60</v>
      </c>
      <c r="R7" t="n">
        <v>60</v>
      </c>
      <c r="S7" t="n">
        <v>50</v>
      </c>
      <c r="T7" t="n">
        <v>50</v>
      </c>
      <c r="U7" t="n">
        <v>20</v>
      </c>
      <c r="V7" t="n">
        <v>25</v>
      </c>
      <c r="W7" t="n">
        <v>60</v>
      </c>
      <c r="X7" t="n">
        <v>60</v>
      </c>
      <c r="Y7" t="n">
        <v>20</v>
      </c>
      <c r="Z7" t="n">
        <v>50</v>
      </c>
      <c r="AA7" t="n">
        <v>66</v>
      </c>
      <c r="AB7" t="n">
        <v>64</v>
      </c>
      <c r="AC7" t="n">
        <v>60</v>
      </c>
      <c r="AD7" t="n">
        <v>61</v>
      </c>
      <c r="AE7" t="n">
        <v>77</v>
      </c>
      <c r="AF7" t="n">
        <v>62</v>
      </c>
      <c r="AG7" t="n">
        <v>60</v>
      </c>
      <c r="AH7" t="n">
        <v>60</v>
      </c>
      <c r="AI7" t="n">
        <v>67</v>
      </c>
      <c r="AJ7" t="n">
        <v>67</v>
      </c>
      <c r="AK7" t="n">
        <v>62</v>
      </c>
      <c r="AL7" t="n">
        <v>62</v>
      </c>
      <c r="AM7" t="n">
        <v>65</v>
      </c>
      <c r="AN7" t="n">
        <v>68</v>
      </c>
      <c r="AO7" t="n">
        <v>25</v>
      </c>
      <c r="AP7" t="n">
        <v>42</v>
      </c>
      <c r="AR7" t="n">
        <v>39</v>
      </c>
      <c r="AS7" t="n">
        <v>2</v>
      </c>
      <c r="AU7" t="n">
        <v>5</v>
      </c>
      <c r="AV7" t="n">
        <v>20</v>
      </c>
      <c r="AW7" t="n">
        <v>10</v>
      </c>
      <c r="AY7" t="n">
        <v>5</v>
      </c>
      <c r="AZ7" t="n">
        <v>-1</v>
      </c>
      <c r="BB7" t="n">
        <v>5</v>
      </c>
      <c r="BC7" t="n">
        <v>-1</v>
      </c>
    </row>
    <row r="8">
      <c r="A8" s="5" t="inlineStr">
        <is>
          <t>#</t>
        </is>
      </c>
      <c r="B8" s="5" t="inlineStr">
        <is>
          <t>T/F</t>
        </is>
      </c>
      <c r="D8" s="5" t="inlineStr">
        <is>
          <t>#</t>
        </is>
      </c>
      <c r="E8" s="5" t="inlineStr">
        <is>
          <t>T/F</t>
        </is>
      </c>
      <c r="G8" s="5" t="inlineStr">
        <is>
          <t>#</t>
        </is>
      </c>
      <c r="H8" s="5" t="inlineStr">
        <is>
          <t>T/F</t>
        </is>
      </c>
      <c r="J8" s="5" t="inlineStr">
        <is>
          <t>#</t>
        </is>
      </c>
      <c r="K8" s="5" t="inlineStr">
        <is>
          <t>T/F</t>
        </is>
      </c>
      <c r="M8" s="5" t="inlineStr">
        <is>
          <t>#</t>
        </is>
      </c>
      <c r="N8" s="5" t="inlineStr">
        <is>
          <t>T/F</t>
        </is>
      </c>
      <c r="P8" t="n">
        <v>6</v>
      </c>
      <c r="Q8" t="n">
        <v>62</v>
      </c>
      <c r="R8" t="n">
        <v>63</v>
      </c>
      <c r="S8" t="n">
        <v>60</v>
      </c>
      <c r="T8" t="n">
        <v>60</v>
      </c>
      <c r="U8" t="n">
        <v>24</v>
      </c>
      <c r="V8" t="n">
        <v>30</v>
      </c>
      <c r="W8" t="n">
        <v>62</v>
      </c>
      <c r="X8" t="n">
        <v>62</v>
      </c>
      <c r="Y8" t="n">
        <v>24</v>
      </c>
      <c r="Z8" t="n">
        <v>60</v>
      </c>
      <c r="AA8" t="n">
        <v>69</v>
      </c>
      <c r="AB8" t="n">
        <v>64</v>
      </c>
      <c r="AC8" t="n">
        <v>63</v>
      </c>
      <c r="AD8" t="n">
        <v>63</v>
      </c>
      <c r="AE8" t="n">
        <v>79</v>
      </c>
      <c r="AF8" t="n">
        <v>64</v>
      </c>
      <c r="AG8" t="n">
        <v>63</v>
      </c>
      <c r="AH8" t="n">
        <v>62</v>
      </c>
      <c r="AI8" t="n">
        <v>71</v>
      </c>
      <c r="AJ8" t="n">
        <v>71</v>
      </c>
      <c r="AK8" t="n">
        <v>63</v>
      </c>
      <c r="AL8" t="n">
        <v>64</v>
      </c>
      <c r="AM8" t="n">
        <v>70</v>
      </c>
      <c r="AN8" t="n">
        <v>70</v>
      </c>
      <c r="AO8" t="n">
        <v>30</v>
      </c>
      <c r="AP8" t="n">
        <v>45</v>
      </c>
      <c r="AR8" t="n">
        <v>40</v>
      </c>
      <c r="AS8" t="n">
        <v>3</v>
      </c>
      <c r="AU8" t="n">
        <v>6</v>
      </c>
      <c r="AV8" t="n">
        <v>20</v>
      </c>
      <c r="AW8" t="n">
        <v>10</v>
      </c>
      <c r="AY8" t="n">
        <v>6</v>
      </c>
      <c r="AZ8" t="n">
        <v>-1</v>
      </c>
      <c r="BB8" t="n">
        <v>6</v>
      </c>
      <c r="BC8" t="n">
        <v>-1</v>
      </c>
    </row>
    <row r="9">
      <c r="A9" s="6" t="n">
        <v>1</v>
      </c>
      <c r="B9" s="7" t="n"/>
      <c r="D9" s="6" t="n">
        <v>36</v>
      </c>
      <c r="E9" s="7" t="n"/>
      <c r="G9" s="6" t="n">
        <v>71</v>
      </c>
      <c r="H9" s="7" t="n"/>
      <c r="J9" s="6" t="n">
        <v>106</v>
      </c>
      <c r="K9" s="7" t="n"/>
      <c r="M9" s="6" t="n">
        <v>141</v>
      </c>
      <c r="N9" s="7" t="n"/>
      <c r="P9" t="n">
        <v>7</v>
      </c>
      <c r="Q9" t="n">
        <v>64</v>
      </c>
      <c r="R9" t="n">
        <v>67</v>
      </c>
      <c r="S9" t="n">
        <v>65</v>
      </c>
      <c r="T9" t="n">
        <v>65</v>
      </c>
      <c r="U9" t="n">
        <v>28</v>
      </c>
      <c r="V9" t="n">
        <v>35</v>
      </c>
      <c r="W9" t="n">
        <v>64</v>
      </c>
      <c r="X9" t="n">
        <v>64</v>
      </c>
      <c r="Y9" t="n">
        <v>28</v>
      </c>
      <c r="Z9" t="n">
        <v>62</v>
      </c>
      <c r="AA9" t="n">
        <v>75</v>
      </c>
      <c r="AB9" t="n">
        <v>67</v>
      </c>
      <c r="AC9" t="n">
        <v>66</v>
      </c>
      <c r="AD9" t="n">
        <v>64</v>
      </c>
      <c r="AE9" t="n">
        <v>81</v>
      </c>
      <c r="AF9" t="n">
        <v>66</v>
      </c>
      <c r="AG9" t="n">
        <v>66</v>
      </c>
      <c r="AH9" t="n">
        <v>64</v>
      </c>
      <c r="AI9" t="n">
        <v>75</v>
      </c>
      <c r="AJ9" t="n">
        <v>75</v>
      </c>
      <c r="AK9" t="n">
        <v>65</v>
      </c>
      <c r="AL9" t="n">
        <v>66</v>
      </c>
      <c r="AM9" t="n">
        <v>75</v>
      </c>
      <c r="AN9" t="n">
        <v>72</v>
      </c>
      <c r="AO9" t="n">
        <v>35</v>
      </c>
      <c r="AP9" t="n">
        <v>47</v>
      </c>
      <c r="AR9" t="n">
        <v>41</v>
      </c>
      <c r="AS9" t="n">
        <v>5</v>
      </c>
      <c r="AU9" t="n">
        <v>7</v>
      </c>
      <c r="AV9" t="n">
        <v>20</v>
      </c>
      <c r="AW9" t="n">
        <v>10</v>
      </c>
      <c r="AY9" t="n">
        <v>7</v>
      </c>
      <c r="AZ9" t="n">
        <v>-1</v>
      </c>
      <c r="BB9" t="n">
        <v>7</v>
      </c>
      <c r="BC9" t="n">
        <v>-1</v>
      </c>
    </row>
    <row r="10">
      <c r="A10" s="6" t="n">
        <v>2</v>
      </c>
      <c r="B10" s="7" t="n"/>
      <c r="D10" s="6" t="n">
        <v>37</v>
      </c>
      <c r="E10" s="7" t="n"/>
      <c r="G10" s="6" t="n">
        <v>72</v>
      </c>
      <c r="H10" s="7" t="n"/>
      <c r="J10" s="6" t="n">
        <v>107</v>
      </c>
      <c r="K10" s="7" t="n"/>
      <c r="M10" s="6" t="n">
        <v>142</v>
      </c>
      <c r="N10" s="7" t="n"/>
      <c r="P10" t="n">
        <v>8</v>
      </c>
      <c r="Q10" t="n">
        <v>66</v>
      </c>
      <c r="R10" t="n">
        <v>71</v>
      </c>
      <c r="S10" t="n">
        <v>70</v>
      </c>
      <c r="T10" t="n">
        <v>70</v>
      </c>
      <c r="U10" t="n">
        <v>32</v>
      </c>
      <c r="V10" t="n">
        <v>40</v>
      </c>
      <c r="W10" t="n">
        <v>66</v>
      </c>
      <c r="X10" t="n">
        <v>66</v>
      </c>
      <c r="Y10" t="n">
        <v>32</v>
      </c>
      <c r="Z10" t="n">
        <v>64</v>
      </c>
      <c r="AA10" t="n">
        <v>78</v>
      </c>
      <c r="AB10" t="n">
        <v>68</v>
      </c>
      <c r="AC10" t="n">
        <v>69</v>
      </c>
      <c r="AD10" t="n">
        <v>66</v>
      </c>
      <c r="AE10" t="n">
        <v>83</v>
      </c>
      <c r="AF10" t="n">
        <v>68</v>
      </c>
      <c r="AG10" t="n">
        <v>69</v>
      </c>
      <c r="AH10" t="n">
        <v>66</v>
      </c>
      <c r="AI10" t="n">
        <v>77</v>
      </c>
      <c r="AJ10" t="n">
        <v>76</v>
      </c>
      <c r="AK10" t="n">
        <v>66</v>
      </c>
      <c r="AL10" t="n">
        <v>67</v>
      </c>
      <c r="AM10" t="n">
        <v>78</v>
      </c>
      <c r="AN10" t="n">
        <v>75</v>
      </c>
      <c r="AO10" t="n">
        <v>39</v>
      </c>
      <c r="AP10" t="n">
        <v>49</v>
      </c>
      <c r="AR10" t="n">
        <v>42</v>
      </c>
      <c r="AS10" t="n">
        <v>6</v>
      </c>
      <c r="AU10" t="n">
        <v>8</v>
      </c>
      <c r="AV10" t="n">
        <v>20</v>
      </c>
      <c r="AW10" t="n">
        <v>10</v>
      </c>
      <c r="AY10" t="n">
        <v>8</v>
      </c>
      <c r="AZ10" t="n">
        <v>-2</v>
      </c>
      <c r="BB10" t="n">
        <v>8</v>
      </c>
      <c r="BC10" t="n">
        <v>-1</v>
      </c>
    </row>
    <row r="11">
      <c r="A11" s="6" t="n">
        <v>3</v>
      </c>
      <c r="B11" s="7" t="n"/>
      <c r="D11" s="6" t="n">
        <v>38</v>
      </c>
      <c r="E11" s="7" t="n"/>
      <c r="G11" s="6" t="n">
        <v>73</v>
      </c>
      <c r="H11" s="7" t="n"/>
      <c r="J11" s="6" t="n">
        <v>108</v>
      </c>
      <c r="K11" s="7" t="n"/>
      <c r="M11" s="6" t="n">
        <v>143</v>
      </c>
      <c r="N11" s="7" t="n"/>
      <c r="P11" t="n">
        <v>9</v>
      </c>
      <c r="Q11" t="n">
        <v>68</v>
      </c>
      <c r="R11" t="n">
        <v>75</v>
      </c>
      <c r="S11" t="n">
        <v>75</v>
      </c>
      <c r="T11" t="n">
        <v>75</v>
      </c>
      <c r="U11" t="n">
        <v>36</v>
      </c>
      <c r="V11" t="n">
        <v>44</v>
      </c>
      <c r="W11" t="n">
        <v>69</v>
      </c>
      <c r="X11" t="n">
        <v>68</v>
      </c>
      <c r="Y11" t="n">
        <v>36</v>
      </c>
      <c r="Z11" t="n">
        <v>66</v>
      </c>
      <c r="AA11" t="n">
        <v>80</v>
      </c>
      <c r="AB11" t="n">
        <v>69</v>
      </c>
      <c r="AC11" t="n">
        <v>72</v>
      </c>
      <c r="AD11" t="n">
        <v>67</v>
      </c>
      <c r="AE11" t="n">
        <v>85</v>
      </c>
      <c r="AF11" t="n">
        <v>70</v>
      </c>
      <c r="AG11" t="n">
        <v>72</v>
      </c>
      <c r="AH11" t="n">
        <v>69</v>
      </c>
      <c r="AI11" t="n">
        <v>80</v>
      </c>
      <c r="AJ11" t="n">
        <v>77</v>
      </c>
      <c r="AK11" t="n">
        <v>68</v>
      </c>
      <c r="AL11" t="n">
        <v>68</v>
      </c>
      <c r="AM11" t="n">
        <v>81</v>
      </c>
      <c r="AN11" t="n">
        <v>80</v>
      </c>
      <c r="AO11" t="n">
        <v>43</v>
      </c>
      <c r="AP11" t="n">
        <v>52</v>
      </c>
      <c r="AR11" t="n">
        <v>43</v>
      </c>
      <c r="AS11" t="n">
        <v>8</v>
      </c>
      <c r="AU11" t="n">
        <v>9</v>
      </c>
      <c r="AV11" t="n">
        <v>20</v>
      </c>
      <c r="AW11" t="n">
        <v>10</v>
      </c>
      <c r="AY11" t="n">
        <v>9</v>
      </c>
      <c r="AZ11" t="n">
        <v>-2</v>
      </c>
      <c r="BB11" t="n">
        <v>9</v>
      </c>
      <c r="BC11" t="n">
        <v>-1</v>
      </c>
    </row>
    <row r="12">
      <c r="A12" s="6" t="n">
        <v>4</v>
      </c>
      <c r="B12" s="7" t="n"/>
      <c r="D12" s="6" t="n">
        <v>39</v>
      </c>
      <c r="E12" s="7" t="n"/>
      <c r="G12" s="6" t="n">
        <v>74</v>
      </c>
      <c r="H12" s="7" t="n"/>
      <c r="J12" s="6" t="n">
        <v>109</v>
      </c>
      <c r="K12" s="7" t="n"/>
      <c r="M12" s="6" t="n">
        <v>144</v>
      </c>
      <c r="N12" s="7" t="n"/>
      <c r="P12" t="n">
        <v>10</v>
      </c>
      <c r="Q12" t="n">
        <v>70</v>
      </c>
      <c r="R12" t="n">
        <v>77</v>
      </c>
      <c r="S12" t="n">
        <v>77</v>
      </c>
      <c r="T12" t="n">
        <v>78</v>
      </c>
      <c r="U12" t="n">
        <v>40</v>
      </c>
      <c r="V12" t="n">
        <v>48</v>
      </c>
      <c r="W12" t="n">
        <v>71</v>
      </c>
      <c r="X12" t="n">
        <v>69</v>
      </c>
      <c r="Y12" t="n">
        <v>39</v>
      </c>
      <c r="Z12" t="n">
        <v>68</v>
      </c>
      <c r="AA12" t="n">
        <v>82</v>
      </c>
      <c r="AB12" t="n">
        <v>70</v>
      </c>
      <c r="AC12" t="n">
        <v>75</v>
      </c>
      <c r="AD12" t="n">
        <v>69</v>
      </c>
      <c r="AE12" t="n">
        <v>87</v>
      </c>
      <c r="AF12" t="n">
        <v>72</v>
      </c>
      <c r="AG12" t="n">
        <v>75</v>
      </c>
      <c r="AH12" t="n">
        <v>72</v>
      </c>
      <c r="AI12" t="n">
        <v>83</v>
      </c>
      <c r="AJ12" t="n">
        <v>78</v>
      </c>
      <c r="AK12" t="n">
        <v>69</v>
      </c>
      <c r="AL12" t="n">
        <v>69</v>
      </c>
      <c r="AM12" t="n">
        <v>87</v>
      </c>
      <c r="AN12" t="n">
        <v>85</v>
      </c>
      <c r="AO12" t="n">
        <v>47</v>
      </c>
      <c r="AP12" t="n">
        <v>54</v>
      </c>
      <c r="AR12" t="n">
        <v>44</v>
      </c>
      <c r="AS12" t="n">
        <v>9</v>
      </c>
      <c r="AU12" t="n">
        <v>10</v>
      </c>
      <c r="AV12" t="n">
        <v>20</v>
      </c>
      <c r="AW12" t="n">
        <v>10</v>
      </c>
      <c r="AY12" t="n">
        <v>10</v>
      </c>
      <c r="AZ12" t="n">
        <v>-2</v>
      </c>
      <c r="BB12" t="n">
        <v>10</v>
      </c>
      <c r="BC12" t="n">
        <v>-2</v>
      </c>
    </row>
    <row r="13">
      <c r="A13" s="6" t="n">
        <v>5</v>
      </c>
      <c r="B13" s="7" t="n"/>
      <c r="D13" s="6" t="n">
        <v>40</v>
      </c>
      <c r="E13" s="7" t="n"/>
      <c r="G13" s="6" t="n">
        <v>75</v>
      </c>
      <c r="H13" s="7" t="n"/>
      <c r="J13" s="6" t="n">
        <v>110</v>
      </c>
      <c r="K13" s="7" t="n"/>
      <c r="M13" s="6" t="n">
        <v>145</v>
      </c>
      <c r="N13" s="7" t="n"/>
      <c r="P13" t="n">
        <v>11</v>
      </c>
      <c r="Q13" t="n">
        <v>72</v>
      </c>
      <c r="R13" t="n">
        <v>79</v>
      </c>
      <c r="S13" t="n">
        <v>79</v>
      </c>
      <c r="T13" t="n">
        <v>81</v>
      </c>
      <c r="U13" t="n">
        <v>44</v>
      </c>
      <c r="V13" t="n">
        <v>52</v>
      </c>
      <c r="W13" t="n">
        <v>73</v>
      </c>
      <c r="X13" t="n">
        <v>70</v>
      </c>
      <c r="Y13" t="n">
        <v>42</v>
      </c>
      <c r="Z13" t="n">
        <v>70</v>
      </c>
      <c r="AA13" t="n">
        <v>85</v>
      </c>
      <c r="AB13" t="n">
        <v>71</v>
      </c>
      <c r="AC13" t="n">
        <v>77</v>
      </c>
      <c r="AD13" t="n">
        <v>70</v>
      </c>
      <c r="AE13" t="n">
        <v>89</v>
      </c>
      <c r="AF13" t="n">
        <v>73</v>
      </c>
      <c r="AG13" t="n">
        <v>80</v>
      </c>
      <c r="AH13" t="n">
        <v>75</v>
      </c>
      <c r="AI13" t="n">
        <v>85</v>
      </c>
      <c r="AJ13" t="n">
        <v>79</v>
      </c>
      <c r="AK13" t="n">
        <v>71</v>
      </c>
      <c r="AL13" t="n">
        <v>70</v>
      </c>
      <c r="AM13" t="n">
        <v>89</v>
      </c>
      <c r="AN13" t="n">
        <v>90</v>
      </c>
      <c r="AO13" t="n">
        <v>51</v>
      </c>
      <c r="AP13" t="n">
        <v>56</v>
      </c>
      <c r="AR13" t="n">
        <v>45</v>
      </c>
      <c r="AS13" t="n">
        <v>11</v>
      </c>
      <c r="AU13" t="n">
        <v>11</v>
      </c>
      <c r="AV13" t="n">
        <v>20</v>
      </c>
      <c r="AW13" t="n">
        <v>10</v>
      </c>
      <c r="AY13" t="n">
        <v>11</v>
      </c>
      <c r="AZ13" t="n">
        <v>-2</v>
      </c>
      <c r="BB13" t="n">
        <v>11</v>
      </c>
      <c r="BC13" t="n">
        <v>-2</v>
      </c>
    </row>
    <row r="14">
      <c r="A14" s="6" t="n">
        <v>6</v>
      </c>
      <c r="B14" s="7" t="n"/>
      <c r="D14" s="6" t="n">
        <v>41</v>
      </c>
      <c r="E14" s="7" t="n"/>
      <c r="G14" s="6" t="n">
        <v>76</v>
      </c>
      <c r="H14" s="7" t="n"/>
      <c r="J14" s="6" t="n">
        <v>111</v>
      </c>
      <c r="K14" s="7" t="n"/>
      <c r="M14" s="6" t="n">
        <v>146</v>
      </c>
      <c r="N14" s="7" t="n"/>
      <c r="P14" t="n">
        <v>12</v>
      </c>
      <c r="Q14" t="n">
        <v>75</v>
      </c>
      <c r="R14" t="n">
        <v>81</v>
      </c>
      <c r="S14" t="n">
        <v>81</v>
      </c>
      <c r="T14" t="n">
        <v>83</v>
      </c>
      <c r="U14" t="n">
        <v>48</v>
      </c>
      <c r="V14" t="n">
        <v>56</v>
      </c>
      <c r="W14" t="n">
        <v>75</v>
      </c>
      <c r="X14" t="n">
        <v>71</v>
      </c>
      <c r="Y14" t="n">
        <v>45</v>
      </c>
      <c r="Z14" t="n">
        <v>72</v>
      </c>
      <c r="AA14" t="n">
        <v>88</v>
      </c>
      <c r="AB14" t="n">
        <v>72</v>
      </c>
      <c r="AC14" t="n">
        <v>77</v>
      </c>
      <c r="AD14" t="n">
        <v>72</v>
      </c>
      <c r="AE14" t="n">
        <v>91</v>
      </c>
      <c r="AF14" t="n">
        <v>74</v>
      </c>
      <c r="AG14" t="n">
        <v>85</v>
      </c>
      <c r="AH14" t="n">
        <v>78</v>
      </c>
      <c r="AI14" t="n">
        <v>88</v>
      </c>
      <c r="AJ14" t="n">
        <v>81</v>
      </c>
      <c r="AK14" t="n">
        <v>73</v>
      </c>
      <c r="AL14" t="n">
        <v>71</v>
      </c>
      <c r="AM14" t="n">
        <v>91</v>
      </c>
      <c r="AN14" t="n">
        <v>95</v>
      </c>
      <c r="AO14" t="n">
        <v>55</v>
      </c>
      <c r="AP14" t="n">
        <v>59</v>
      </c>
      <c r="AR14" t="n">
        <v>46</v>
      </c>
      <c r="AS14" t="n">
        <v>12</v>
      </c>
      <c r="AU14" t="n">
        <v>12</v>
      </c>
      <c r="AV14" t="n">
        <v>20</v>
      </c>
      <c r="AW14" t="n">
        <v>10</v>
      </c>
      <c r="AY14" t="n">
        <v>12</v>
      </c>
      <c r="AZ14" t="n">
        <v>-2</v>
      </c>
      <c r="BB14" t="n">
        <v>12</v>
      </c>
      <c r="BC14" t="n">
        <v>-2</v>
      </c>
    </row>
    <row r="15">
      <c r="A15" s="6" t="n">
        <v>7</v>
      </c>
      <c r="B15" s="7" t="n"/>
      <c r="D15" s="6" t="n">
        <v>42</v>
      </c>
      <c r="E15" s="7" t="n"/>
      <c r="G15" s="6" t="n">
        <v>77</v>
      </c>
      <c r="H15" s="7" t="n"/>
      <c r="J15" s="6" t="n">
        <v>112</v>
      </c>
      <c r="K15" s="7" t="n"/>
      <c r="M15" s="6" t="n">
        <v>147</v>
      </c>
      <c r="N15" s="7" t="n"/>
      <c r="P15" t="n">
        <v>13</v>
      </c>
      <c r="Q15" t="n">
        <v>78</v>
      </c>
      <c r="R15" t="n">
        <v>83</v>
      </c>
      <c r="S15" t="n">
        <v>83</v>
      </c>
      <c r="T15" t="n">
        <v>85</v>
      </c>
      <c r="U15" t="n">
        <v>51</v>
      </c>
      <c r="V15" t="n">
        <v>60</v>
      </c>
      <c r="W15" t="n">
        <v>75</v>
      </c>
      <c r="X15" t="n">
        <v>72</v>
      </c>
      <c r="Y15" t="n">
        <v>48</v>
      </c>
      <c r="Z15" t="n">
        <v>72</v>
      </c>
      <c r="AA15" t="n">
        <v>91</v>
      </c>
      <c r="AB15" t="n">
        <v>73</v>
      </c>
      <c r="AC15" t="n">
        <v>79</v>
      </c>
      <c r="AD15" t="n">
        <v>73</v>
      </c>
      <c r="AE15" t="n">
        <v>94</v>
      </c>
      <c r="AF15" t="n">
        <v>75</v>
      </c>
      <c r="AG15" t="n">
        <v>90</v>
      </c>
      <c r="AH15" t="n">
        <v>80</v>
      </c>
      <c r="AI15" t="n">
        <v>91</v>
      </c>
      <c r="AJ15" t="n">
        <v>83</v>
      </c>
      <c r="AK15" t="n">
        <v>75</v>
      </c>
      <c r="AL15" t="n">
        <v>72</v>
      </c>
      <c r="AM15" t="n">
        <v>93</v>
      </c>
      <c r="AN15" t="n">
        <v>100</v>
      </c>
      <c r="AO15" t="n">
        <v>59</v>
      </c>
      <c r="AP15" t="n">
        <v>61</v>
      </c>
      <c r="AR15" t="n">
        <v>47</v>
      </c>
      <c r="AS15" t="n">
        <v>14</v>
      </c>
      <c r="AU15" t="n">
        <v>13</v>
      </c>
      <c r="AV15" t="n">
        <v>20</v>
      </c>
      <c r="AW15" t="n">
        <v>10</v>
      </c>
      <c r="AY15" t="n">
        <v>13</v>
      </c>
      <c r="AZ15" t="n">
        <v>-2</v>
      </c>
      <c r="BB15" t="n">
        <v>13</v>
      </c>
      <c r="BC15" t="n">
        <v>-2</v>
      </c>
    </row>
    <row r="16">
      <c r="A16" s="6" t="n">
        <v>8</v>
      </c>
      <c r="B16" s="7" t="n"/>
      <c r="D16" s="6" t="n">
        <v>43</v>
      </c>
      <c r="E16" s="7" t="n"/>
      <c r="G16" s="6" t="n">
        <v>78</v>
      </c>
      <c r="H16" s="7" t="n"/>
      <c r="J16" s="6" t="n">
        <v>113</v>
      </c>
      <c r="K16" s="7" t="n"/>
      <c r="M16" s="6" t="n">
        <v>148</v>
      </c>
      <c r="N16" s="7" t="n"/>
      <c r="P16" t="n">
        <v>14</v>
      </c>
      <c r="Q16" t="n">
        <v>81</v>
      </c>
      <c r="R16" t="n">
        <v>85</v>
      </c>
      <c r="S16" t="n">
        <v>85</v>
      </c>
      <c r="T16" t="n">
        <v>87</v>
      </c>
      <c r="U16" t="n">
        <v>54</v>
      </c>
      <c r="V16" t="n">
        <v>63</v>
      </c>
      <c r="W16" t="n">
        <v>79</v>
      </c>
      <c r="X16" t="n">
        <v>73</v>
      </c>
      <c r="Y16" t="n">
        <v>51</v>
      </c>
      <c r="Z16" t="n">
        <v>75</v>
      </c>
      <c r="AA16" t="n">
        <v>94</v>
      </c>
      <c r="AB16" t="n">
        <v>74</v>
      </c>
      <c r="AC16" t="n">
        <v>81</v>
      </c>
      <c r="AD16" t="n">
        <v>75</v>
      </c>
      <c r="AE16" t="n">
        <v>97</v>
      </c>
      <c r="AF16" t="n">
        <v>80</v>
      </c>
      <c r="AG16" t="n">
        <v>95</v>
      </c>
      <c r="AH16" t="n">
        <v>82</v>
      </c>
      <c r="AI16" t="n">
        <v>95</v>
      </c>
      <c r="AJ16" t="n">
        <v>85</v>
      </c>
      <c r="AK16" t="n">
        <v>77</v>
      </c>
      <c r="AL16" t="n">
        <v>73</v>
      </c>
      <c r="AM16" t="n">
        <v>95</v>
      </c>
      <c r="AN16" t="n">
        <v>105</v>
      </c>
      <c r="AO16" t="n">
        <v>63</v>
      </c>
      <c r="AP16" t="n">
        <v>63</v>
      </c>
      <c r="AR16" t="n">
        <v>48</v>
      </c>
      <c r="AS16" t="n">
        <v>15</v>
      </c>
      <c r="AU16" t="n">
        <v>14</v>
      </c>
      <c r="AV16" t="n">
        <v>20</v>
      </c>
      <c r="AW16" t="n">
        <v>10</v>
      </c>
      <c r="AY16" t="n">
        <v>14</v>
      </c>
      <c r="AZ16" t="n">
        <v>-2</v>
      </c>
      <c r="BB16" t="n">
        <v>14</v>
      </c>
      <c r="BC16" t="n">
        <v>-2</v>
      </c>
    </row>
    <row r="17">
      <c r="A17" s="6" t="n">
        <v>9</v>
      </c>
      <c r="B17" s="7" t="n"/>
      <c r="D17" s="6" t="n">
        <v>44</v>
      </c>
      <c r="E17" s="7" t="n"/>
      <c r="G17" s="6" t="n">
        <v>79</v>
      </c>
      <c r="H17" s="7" t="n"/>
      <c r="J17" s="6" t="n">
        <v>114</v>
      </c>
      <c r="K17" s="7" t="n"/>
      <c r="M17" s="6" t="n">
        <v>149</v>
      </c>
      <c r="N17" s="7" t="n"/>
      <c r="P17" t="n">
        <v>15</v>
      </c>
      <c r="Q17" t="n">
        <v>85</v>
      </c>
      <c r="R17" t="n">
        <v>88</v>
      </c>
      <c r="S17" t="n">
        <v>89</v>
      </c>
      <c r="T17" t="n">
        <v>89</v>
      </c>
      <c r="U17" t="n">
        <v>57</v>
      </c>
      <c r="V17" t="n">
        <v>67</v>
      </c>
      <c r="W17" t="n">
        <v>82</v>
      </c>
      <c r="X17" t="n">
        <v>74</v>
      </c>
      <c r="Y17" t="n">
        <v>54</v>
      </c>
      <c r="Z17" t="n">
        <v>75</v>
      </c>
      <c r="AA17" t="n">
        <v>97</v>
      </c>
      <c r="AB17" t="n">
        <v>75</v>
      </c>
      <c r="AC17" t="n">
        <v>83</v>
      </c>
      <c r="AD17" t="n">
        <v>77</v>
      </c>
      <c r="AE17" t="n">
        <v>100</v>
      </c>
      <c r="AF17" t="n">
        <v>85</v>
      </c>
      <c r="AG17" t="n">
        <v>100</v>
      </c>
      <c r="AH17" t="n">
        <v>85</v>
      </c>
      <c r="AI17" t="n">
        <v>99</v>
      </c>
      <c r="AJ17" t="n">
        <v>90</v>
      </c>
      <c r="AK17" t="n">
        <v>79</v>
      </c>
      <c r="AL17" t="n">
        <v>74</v>
      </c>
      <c r="AM17" t="n">
        <v>97</v>
      </c>
      <c r="AN17" t="n">
        <v>110</v>
      </c>
      <c r="AO17" t="n">
        <v>67</v>
      </c>
      <c r="AP17" t="n">
        <v>66</v>
      </c>
      <c r="AR17" t="n">
        <v>49</v>
      </c>
      <c r="AS17" t="n">
        <v>17</v>
      </c>
      <c r="AU17" t="n">
        <v>15</v>
      </c>
      <c r="AV17" t="n">
        <v>20</v>
      </c>
      <c r="AW17" t="n">
        <v>10</v>
      </c>
      <c r="AY17" t="n">
        <v>15</v>
      </c>
      <c r="AZ17" t="n">
        <v>-2</v>
      </c>
      <c r="BB17" t="n">
        <v>15</v>
      </c>
      <c r="BC17" t="n">
        <v>-3</v>
      </c>
    </row>
    <row r="18">
      <c r="A18" s="6" t="n">
        <v>10</v>
      </c>
      <c r="B18" s="7" t="n"/>
      <c r="D18" s="6" t="n">
        <v>45</v>
      </c>
      <c r="E18" s="7" t="n"/>
      <c r="G18" s="6" t="n">
        <v>80</v>
      </c>
      <c r="H18" s="7" t="n"/>
      <c r="J18" s="6" t="n">
        <v>115</v>
      </c>
      <c r="K18" s="7" t="n"/>
      <c r="M18" s="6" t="n">
        <v>150</v>
      </c>
      <c r="N18" s="7" t="n"/>
      <c r="P18" t="n">
        <v>16</v>
      </c>
      <c r="Q18" t="n">
        <v>89</v>
      </c>
      <c r="R18" t="n">
        <v>91</v>
      </c>
      <c r="S18" t="n">
        <v>92</v>
      </c>
      <c r="T18" t="n">
        <v>91</v>
      </c>
      <c r="U18" t="n">
        <v>60</v>
      </c>
      <c r="V18" t="n">
        <v>71</v>
      </c>
      <c r="W18" t="n">
        <v>85</v>
      </c>
      <c r="X18" t="n">
        <v>75</v>
      </c>
      <c r="Y18" t="n">
        <v>57</v>
      </c>
      <c r="Z18" t="n">
        <v>77</v>
      </c>
      <c r="AA18" t="n">
        <v>100</v>
      </c>
      <c r="AB18" t="n">
        <v>78</v>
      </c>
      <c r="AC18" t="n">
        <v>85</v>
      </c>
      <c r="AD18" t="n">
        <v>79</v>
      </c>
      <c r="AE18" t="n">
        <v>103</v>
      </c>
      <c r="AF18" t="n">
        <v>100</v>
      </c>
      <c r="AG18" t="n">
        <v>105</v>
      </c>
      <c r="AH18" t="n">
        <v>91</v>
      </c>
      <c r="AI18" t="n">
        <v>103</v>
      </c>
      <c r="AJ18" t="n">
        <v>95</v>
      </c>
      <c r="AK18" t="n">
        <v>81</v>
      </c>
      <c r="AL18" t="n">
        <v>75</v>
      </c>
      <c r="AM18" t="n">
        <v>99</v>
      </c>
      <c r="AN18" t="n">
        <v>115</v>
      </c>
      <c r="AO18" t="n">
        <v>71</v>
      </c>
      <c r="AP18" t="n">
        <v>68</v>
      </c>
      <c r="AR18" t="n">
        <v>50</v>
      </c>
      <c r="AS18" t="n">
        <v>18</v>
      </c>
      <c r="AU18" t="n">
        <v>16</v>
      </c>
      <c r="AV18" t="n">
        <v>20</v>
      </c>
      <c r="AW18" t="n">
        <v>10</v>
      </c>
      <c r="AY18" t="n">
        <v>16</v>
      </c>
      <c r="AZ18" t="n">
        <v>-3</v>
      </c>
      <c r="BB18" t="n">
        <v>16</v>
      </c>
      <c r="BC18" t="n">
        <v>-3</v>
      </c>
    </row>
    <row r="19">
      <c r="A19" s="6" t="n">
        <v>11</v>
      </c>
      <c r="B19" s="7" t="n"/>
      <c r="D19" s="6" t="n">
        <v>46</v>
      </c>
      <c r="E19" s="7" t="n"/>
      <c r="G19" s="6" t="n">
        <v>81</v>
      </c>
      <c r="H19" s="7" t="n"/>
      <c r="J19" s="6" t="n">
        <v>116</v>
      </c>
      <c r="K19" s="7" t="n"/>
      <c r="M19" s="6" t="n">
        <v>151</v>
      </c>
      <c r="N19" s="7" t="n"/>
      <c r="P19" t="n">
        <v>17</v>
      </c>
      <c r="Q19" t="n">
        <v>93</v>
      </c>
      <c r="R19" t="n">
        <v>94</v>
      </c>
      <c r="S19" t="n">
        <v>96</v>
      </c>
      <c r="T19" t="n">
        <v>94</v>
      </c>
      <c r="U19" t="n">
        <v>63</v>
      </c>
      <c r="V19" t="n">
        <v>75</v>
      </c>
      <c r="W19" t="n">
        <v>89</v>
      </c>
      <c r="X19" t="n">
        <v>78</v>
      </c>
      <c r="Y19" t="n">
        <v>60</v>
      </c>
      <c r="Z19" t="n">
        <v>77</v>
      </c>
      <c r="AA19" t="n">
        <v>103</v>
      </c>
      <c r="AB19" t="n">
        <v>81</v>
      </c>
      <c r="AC19" t="n">
        <v>88</v>
      </c>
      <c r="AD19" t="n">
        <v>81</v>
      </c>
      <c r="AE19" t="n">
        <v>106</v>
      </c>
      <c r="AF19" t="n">
        <v>115</v>
      </c>
      <c r="AG19" t="n">
        <v>110</v>
      </c>
      <c r="AH19" t="n">
        <v>97</v>
      </c>
      <c r="AI19" t="n">
        <v>107</v>
      </c>
      <c r="AJ19" t="n">
        <v>100</v>
      </c>
      <c r="AK19" t="n">
        <v>83</v>
      </c>
      <c r="AL19" t="n">
        <v>79</v>
      </c>
      <c r="AM19" t="n">
        <v>101</v>
      </c>
      <c r="AN19" t="n">
        <v>115</v>
      </c>
      <c r="AO19" t="n">
        <v>75</v>
      </c>
      <c r="AP19" t="n">
        <v>70</v>
      </c>
      <c r="AR19" t="n">
        <v>51</v>
      </c>
      <c r="AS19" t="n">
        <v>20</v>
      </c>
      <c r="AU19" t="n">
        <v>17</v>
      </c>
      <c r="AV19" t="n">
        <v>20</v>
      </c>
      <c r="AW19" t="n">
        <v>10</v>
      </c>
      <c r="AY19" t="n">
        <v>17</v>
      </c>
      <c r="AZ19" t="n">
        <v>-3</v>
      </c>
      <c r="BB19" t="n">
        <v>17</v>
      </c>
      <c r="BC19" t="n">
        <v>-3</v>
      </c>
    </row>
    <row r="20">
      <c r="A20" s="6" t="n">
        <v>12</v>
      </c>
      <c r="B20" s="7" t="n"/>
      <c r="D20" s="6" t="n">
        <v>47</v>
      </c>
      <c r="E20" s="7" t="n"/>
      <c r="G20" s="6" t="n">
        <v>82</v>
      </c>
      <c r="H20" s="7" t="n"/>
      <c r="J20" s="6" t="n">
        <v>117</v>
      </c>
      <c r="K20" s="7" t="n"/>
      <c r="M20" s="6" t="n">
        <v>152</v>
      </c>
      <c r="N20" s="7" t="n"/>
      <c r="P20" t="n">
        <v>18</v>
      </c>
      <c r="Q20" t="n">
        <v>97</v>
      </c>
      <c r="R20" t="n">
        <v>97</v>
      </c>
      <c r="S20" t="n">
        <v>99</v>
      </c>
      <c r="T20" t="n">
        <v>97</v>
      </c>
      <c r="U20" t="n">
        <v>66</v>
      </c>
      <c r="V20" t="n">
        <v>85</v>
      </c>
      <c r="W20" t="n">
        <v>92</v>
      </c>
      <c r="X20" t="n">
        <v>80</v>
      </c>
      <c r="Y20" t="n">
        <v>63</v>
      </c>
      <c r="Z20" t="n">
        <v>79</v>
      </c>
      <c r="AA20" t="n">
        <v>106</v>
      </c>
      <c r="AB20" t="n">
        <v>85</v>
      </c>
      <c r="AC20" t="n">
        <v>91</v>
      </c>
      <c r="AD20" t="n">
        <v>83</v>
      </c>
      <c r="AE20" t="n">
        <v>109</v>
      </c>
      <c r="AF20" t="n">
        <v>115</v>
      </c>
      <c r="AG20" t="n">
        <v>115</v>
      </c>
      <c r="AH20" t="n">
        <v>103</v>
      </c>
      <c r="AI20" t="n">
        <v>111</v>
      </c>
      <c r="AJ20" t="n">
        <v>105</v>
      </c>
      <c r="AK20" t="n">
        <v>85</v>
      </c>
      <c r="AL20" t="n">
        <v>82</v>
      </c>
      <c r="AM20" t="n">
        <v>103</v>
      </c>
      <c r="AN20" t="n">
        <v>115</v>
      </c>
      <c r="AO20" t="n">
        <v>80</v>
      </c>
      <c r="AP20" t="n">
        <v>73</v>
      </c>
      <c r="AR20" t="n">
        <v>52</v>
      </c>
      <c r="AS20" t="n">
        <v>21</v>
      </c>
      <c r="AU20" t="n">
        <v>18</v>
      </c>
      <c r="AV20" t="n">
        <v>20</v>
      </c>
      <c r="AW20" t="n">
        <v>10</v>
      </c>
      <c r="AY20" t="n">
        <v>18</v>
      </c>
      <c r="AZ20" t="n">
        <v>-3</v>
      </c>
      <c r="BB20" t="n">
        <v>18</v>
      </c>
      <c r="BC20" t="n">
        <v>-3</v>
      </c>
    </row>
    <row r="21">
      <c r="A21" s="6" t="n">
        <v>13</v>
      </c>
      <c r="B21" s="7" t="n"/>
      <c r="D21" s="6" t="n">
        <v>48</v>
      </c>
      <c r="E21" s="7" t="n"/>
      <c r="G21" s="6" t="n">
        <v>83</v>
      </c>
      <c r="H21" s="7" t="n"/>
      <c r="J21" s="6" t="n">
        <v>118</v>
      </c>
      <c r="K21" s="7" t="n"/>
      <c r="M21" s="6" t="n">
        <v>153</v>
      </c>
      <c r="N21" s="7" t="n"/>
      <c r="P21" t="n">
        <v>19</v>
      </c>
      <c r="Q21" t="n">
        <v>101</v>
      </c>
      <c r="R21" t="n">
        <v>100</v>
      </c>
      <c r="S21" t="n">
        <v>103</v>
      </c>
      <c r="T21" t="n">
        <v>100</v>
      </c>
      <c r="U21" t="n">
        <v>69</v>
      </c>
      <c r="V21" t="n">
        <v>89</v>
      </c>
      <c r="W21" t="n">
        <v>96</v>
      </c>
      <c r="X21" t="n">
        <v>83</v>
      </c>
      <c r="Y21" t="n">
        <v>66</v>
      </c>
      <c r="Z21" t="n">
        <v>81</v>
      </c>
      <c r="AA21" t="n">
        <v>109</v>
      </c>
      <c r="AB21" t="n">
        <v>90</v>
      </c>
      <c r="AC21" t="n">
        <v>94</v>
      </c>
      <c r="AD21" t="n">
        <v>85</v>
      </c>
      <c r="AE21" t="n">
        <v>112</v>
      </c>
      <c r="AF21" t="n">
        <v>115</v>
      </c>
      <c r="AG21" t="n">
        <v>115</v>
      </c>
      <c r="AH21" t="n">
        <v>109</v>
      </c>
      <c r="AI21" t="n">
        <v>115</v>
      </c>
      <c r="AJ21" t="n">
        <v>110</v>
      </c>
      <c r="AK21" t="n">
        <v>95</v>
      </c>
      <c r="AL21" t="n">
        <v>85</v>
      </c>
      <c r="AM21" t="n">
        <v>106</v>
      </c>
      <c r="AN21" t="n">
        <v>115</v>
      </c>
      <c r="AO21" t="n">
        <v>85</v>
      </c>
      <c r="AP21" t="n">
        <v>75</v>
      </c>
      <c r="AR21" t="n">
        <v>53</v>
      </c>
      <c r="AS21" t="n">
        <v>23</v>
      </c>
      <c r="AU21" t="n">
        <v>19</v>
      </c>
      <c r="AV21" t="n">
        <v>20</v>
      </c>
      <c r="AW21" t="n">
        <v>10</v>
      </c>
      <c r="AY21" t="n">
        <v>19</v>
      </c>
      <c r="AZ21" t="n">
        <v>-3</v>
      </c>
      <c r="BB21" t="n">
        <v>19</v>
      </c>
      <c r="BC21" t="n">
        <v>-3</v>
      </c>
    </row>
    <row r="22">
      <c r="A22" s="6" t="n">
        <v>14</v>
      </c>
      <c r="B22" s="7" t="n"/>
      <c r="D22" s="6" t="n">
        <v>49</v>
      </c>
      <c r="E22" s="7" t="n"/>
      <c r="G22" s="6" t="n">
        <v>84</v>
      </c>
      <c r="H22" s="7" t="n"/>
      <c r="J22" s="6" t="n">
        <v>119</v>
      </c>
      <c r="K22" s="7" t="n"/>
      <c r="M22" s="6" t="n">
        <v>154</v>
      </c>
      <c r="N22" s="7" t="n"/>
      <c r="P22" t="n">
        <v>20</v>
      </c>
      <c r="Q22" t="n">
        <v>105</v>
      </c>
      <c r="R22" t="n">
        <v>103</v>
      </c>
      <c r="S22" t="n">
        <v>106</v>
      </c>
      <c r="T22" t="n">
        <v>103</v>
      </c>
      <c r="U22" t="n">
        <v>72</v>
      </c>
      <c r="V22" t="n">
        <v>93</v>
      </c>
      <c r="W22" t="n">
        <v>99</v>
      </c>
      <c r="X22" t="n">
        <v>85</v>
      </c>
      <c r="Y22" t="n">
        <v>69</v>
      </c>
      <c r="Z22" t="n">
        <v>83</v>
      </c>
      <c r="AA22" t="n">
        <v>112</v>
      </c>
      <c r="AB22" t="n">
        <v>95</v>
      </c>
      <c r="AC22" t="n">
        <v>97</v>
      </c>
      <c r="AD22" t="n">
        <v>90</v>
      </c>
      <c r="AE22" t="n">
        <v>115</v>
      </c>
      <c r="AF22" t="n">
        <v>115</v>
      </c>
      <c r="AG22" t="n">
        <v>115</v>
      </c>
      <c r="AH22" t="n">
        <v>115</v>
      </c>
      <c r="AI22" t="n">
        <v>115</v>
      </c>
      <c r="AJ22" t="n">
        <v>115</v>
      </c>
      <c r="AK22" t="n">
        <v>105</v>
      </c>
      <c r="AL22" t="n">
        <v>93</v>
      </c>
      <c r="AM22" t="n">
        <v>109</v>
      </c>
      <c r="AN22" t="n">
        <v>115</v>
      </c>
      <c r="AO22" t="n">
        <v>93</v>
      </c>
      <c r="AP22" t="n">
        <v>76</v>
      </c>
      <c r="AR22" t="n">
        <v>54</v>
      </c>
      <c r="AS22" t="n">
        <v>24</v>
      </c>
      <c r="AU22" t="n">
        <v>20</v>
      </c>
      <c r="AV22" t="n">
        <v>20</v>
      </c>
      <c r="AW22" t="n">
        <v>10</v>
      </c>
      <c r="AY22" t="n">
        <v>20</v>
      </c>
      <c r="AZ22" t="n">
        <v>-3</v>
      </c>
      <c r="BB22" t="n">
        <v>20</v>
      </c>
      <c r="BC22" t="n">
        <v>-4</v>
      </c>
    </row>
    <row r="23">
      <c r="A23" s="6" t="n">
        <v>15</v>
      </c>
      <c r="B23" s="7" t="n"/>
      <c r="D23" s="6" t="n">
        <v>50</v>
      </c>
      <c r="E23" s="7" t="n"/>
      <c r="G23" s="6" t="n">
        <v>85</v>
      </c>
      <c r="H23" s="7" t="n"/>
      <c r="J23" s="6" t="n">
        <v>120</v>
      </c>
      <c r="K23" s="7" t="n"/>
      <c r="M23" s="6" t="n">
        <v>155</v>
      </c>
      <c r="N23" s="7" t="n"/>
      <c r="P23" t="n">
        <v>21</v>
      </c>
      <c r="Q23" t="n">
        <v>109</v>
      </c>
      <c r="R23" t="n">
        <v>106</v>
      </c>
      <c r="S23" t="n">
        <v>109</v>
      </c>
      <c r="T23" t="n">
        <v>106</v>
      </c>
      <c r="U23" t="n">
        <v>75</v>
      </c>
      <c r="V23" t="n">
        <v>97</v>
      </c>
      <c r="W23" t="n">
        <v>103</v>
      </c>
      <c r="X23" t="n">
        <v>90</v>
      </c>
      <c r="Y23" t="n">
        <v>72</v>
      </c>
      <c r="Z23" t="n">
        <v>85</v>
      </c>
      <c r="AA23" t="n">
        <v>115</v>
      </c>
      <c r="AB23" t="n">
        <v>99</v>
      </c>
      <c r="AC23" t="n">
        <v>100</v>
      </c>
      <c r="AD23" t="n">
        <v>95</v>
      </c>
      <c r="AE23" t="n">
        <v>115</v>
      </c>
      <c r="AF23" t="n">
        <v>115</v>
      </c>
      <c r="AG23" t="n">
        <v>115</v>
      </c>
      <c r="AH23" t="n">
        <v>115</v>
      </c>
      <c r="AI23" t="n">
        <v>115</v>
      </c>
      <c r="AJ23" t="n">
        <v>115</v>
      </c>
      <c r="AK23" t="n">
        <v>115</v>
      </c>
      <c r="AL23" t="n">
        <v>100</v>
      </c>
      <c r="AM23" t="n">
        <v>112</v>
      </c>
      <c r="AN23" t="n">
        <v>115</v>
      </c>
      <c r="AO23" t="n">
        <v>100</v>
      </c>
      <c r="AP23" t="n">
        <v>78</v>
      </c>
      <c r="AR23" t="n">
        <v>55</v>
      </c>
      <c r="AS23" t="n">
        <v>26</v>
      </c>
      <c r="AU23" t="n">
        <v>21</v>
      </c>
      <c r="AV23" t="n">
        <v>20</v>
      </c>
      <c r="AW23" t="n">
        <v>10</v>
      </c>
      <c r="AY23" t="n">
        <v>21</v>
      </c>
      <c r="AZ23" t="n">
        <v>-3</v>
      </c>
      <c r="BB23" t="n">
        <v>21</v>
      </c>
      <c r="BC23" t="n">
        <v>-4</v>
      </c>
    </row>
    <row r="24">
      <c r="A24" s="6" t="n">
        <v>16</v>
      </c>
      <c r="B24" s="7" t="n"/>
      <c r="D24" s="6" t="n">
        <v>51</v>
      </c>
      <c r="E24" s="7" t="n"/>
      <c r="G24" s="6" t="n">
        <v>86</v>
      </c>
      <c r="H24" s="7" t="n"/>
      <c r="J24" s="6" t="n">
        <v>121</v>
      </c>
      <c r="K24" s="7" t="n"/>
      <c r="M24" s="6" t="n">
        <v>156</v>
      </c>
      <c r="N24" s="7" t="n"/>
      <c r="P24" t="n">
        <v>22</v>
      </c>
      <c r="Q24" t="n">
        <v>112</v>
      </c>
      <c r="R24" t="n">
        <v>109</v>
      </c>
      <c r="S24" t="n">
        <v>112</v>
      </c>
      <c r="T24" t="n">
        <v>109</v>
      </c>
      <c r="U24" t="n">
        <v>79</v>
      </c>
      <c r="V24" t="n">
        <v>101</v>
      </c>
      <c r="W24" t="n">
        <v>106</v>
      </c>
      <c r="X24" t="n">
        <v>95</v>
      </c>
      <c r="Y24" t="n">
        <v>75</v>
      </c>
      <c r="Z24" t="n">
        <v>89</v>
      </c>
      <c r="AA24" t="n">
        <v>115</v>
      </c>
      <c r="AB24" t="n">
        <v>103</v>
      </c>
      <c r="AC24" t="n">
        <v>103</v>
      </c>
      <c r="AD24" t="n">
        <v>100</v>
      </c>
      <c r="AE24" t="n">
        <v>115</v>
      </c>
      <c r="AF24" t="n">
        <v>115</v>
      </c>
      <c r="AG24" t="n">
        <v>115</v>
      </c>
      <c r="AH24" t="n">
        <v>115</v>
      </c>
      <c r="AI24" t="n">
        <v>115</v>
      </c>
      <c r="AJ24" t="n">
        <v>115</v>
      </c>
      <c r="AK24" t="n">
        <v>115</v>
      </c>
      <c r="AL24" t="n">
        <v>108</v>
      </c>
      <c r="AM24" t="n">
        <v>115</v>
      </c>
      <c r="AN24" t="n">
        <v>115</v>
      </c>
      <c r="AO24" t="n">
        <v>100</v>
      </c>
      <c r="AP24" t="n">
        <v>79</v>
      </c>
      <c r="AR24" t="n">
        <v>56</v>
      </c>
      <c r="AS24" t="n">
        <v>27</v>
      </c>
      <c r="AU24" t="n">
        <v>22</v>
      </c>
      <c r="AV24" t="n">
        <v>20</v>
      </c>
      <c r="AW24" t="n">
        <v>10</v>
      </c>
      <c r="AY24" t="n">
        <v>22</v>
      </c>
      <c r="AZ24" t="n">
        <v>-3</v>
      </c>
      <c r="BB24" t="n">
        <v>22</v>
      </c>
      <c r="BC24" t="n">
        <v>-4</v>
      </c>
    </row>
    <row r="25">
      <c r="A25" s="6" t="n">
        <v>17</v>
      </c>
      <c r="B25" s="7" t="n"/>
      <c r="D25" s="6" t="n">
        <v>52</v>
      </c>
      <c r="E25" s="7" t="n"/>
      <c r="G25" s="6" t="n">
        <v>87</v>
      </c>
      <c r="H25" s="7" t="n"/>
      <c r="J25" s="6" t="n">
        <v>122</v>
      </c>
      <c r="K25" s="7" t="n"/>
      <c r="M25" s="6" t="n">
        <v>157</v>
      </c>
      <c r="N25" s="7" t="n"/>
      <c r="P25" t="n">
        <v>23</v>
      </c>
      <c r="Q25" t="n">
        <v>115</v>
      </c>
      <c r="R25" t="n">
        <v>112</v>
      </c>
      <c r="S25" t="n">
        <v>115</v>
      </c>
      <c r="T25" t="n">
        <v>112</v>
      </c>
      <c r="U25" t="n">
        <v>83</v>
      </c>
      <c r="V25" t="n">
        <v>105</v>
      </c>
      <c r="W25" t="n">
        <v>109</v>
      </c>
      <c r="X25" t="n">
        <v>100</v>
      </c>
      <c r="Y25" t="n">
        <v>79</v>
      </c>
      <c r="Z25" t="n">
        <v>93</v>
      </c>
      <c r="AA25" t="n">
        <v>115</v>
      </c>
      <c r="AB25" t="n">
        <v>107</v>
      </c>
      <c r="AC25" t="n">
        <v>106</v>
      </c>
      <c r="AD25" t="n">
        <v>105</v>
      </c>
      <c r="AE25" t="n">
        <v>115</v>
      </c>
      <c r="AF25" t="n">
        <v>115</v>
      </c>
      <c r="AG25" t="n">
        <v>115</v>
      </c>
      <c r="AH25" t="n">
        <v>115</v>
      </c>
      <c r="AI25" t="n">
        <v>115</v>
      </c>
      <c r="AJ25" t="n">
        <v>115</v>
      </c>
      <c r="AK25" t="n">
        <v>115</v>
      </c>
      <c r="AL25" t="n">
        <v>115</v>
      </c>
      <c r="AM25" t="n">
        <v>115</v>
      </c>
      <c r="AN25" t="n">
        <v>115</v>
      </c>
      <c r="AO25" t="n">
        <v>100</v>
      </c>
      <c r="AP25" t="n">
        <v>81</v>
      </c>
      <c r="AR25" t="n">
        <v>57</v>
      </c>
      <c r="AS25" t="n">
        <v>29</v>
      </c>
      <c r="AU25" t="n">
        <v>23</v>
      </c>
      <c r="AV25" t="n">
        <v>20</v>
      </c>
      <c r="AW25" t="n">
        <v>10</v>
      </c>
      <c r="AY25" t="n">
        <v>23</v>
      </c>
      <c r="AZ25" t="n">
        <v>-3</v>
      </c>
      <c r="BB25" t="n">
        <v>23</v>
      </c>
      <c r="BC25" t="n">
        <v>-4</v>
      </c>
    </row>
    <row r="26">
      <c r="A26" s="6" t="n">
        <v>18</v>
      </c>
      <c r="B26" s="7" t="n"/>
      <c r="D26" s="6" t="n">
        <v>53</v>
      </c>
      <c r="E26" s="7" t="n"/>
      <c r="G26" s="6" t="n">
        <v>88</v>
      </c>
      <c r="H26" s="7" t="n"/>
      <c r="J26" s="6" t="n">
        <v>123</v>
      </c>
      <c r="K26" s="7" t="n"/>
      <c r="M26" s="6" t="n">
        <v>158</v>
      </c>
      <c r="N26" s="7" t="n"/>
      <c r="P26" t="n">
        <v>24</v>
      </c>
      <c r="Q26" t="n">
        <v>115</v>
      </c>
      <c r="R26" t="n">
        <v>115</v>
      </c>
      <c r="S26" t="n">
        <v>115</v>
      </c>
      <c r="T26" t="n">
        <v>115</v>
      </c>
      <c r="U26" t="n">
        <v>88</v>
      </c>
      <c r="V26" t="n">
        <v>110</v>
      </c>
      <c r="W26" t="n">
        <v>112</v>
      </c>
      <c r="X26" t="n">
        <v>105</v>
      </c>
      <c r="Y26" t="n">
        <v>83</v>
      </c>
      <c r="Z26" t="n">
        <v>97</v>
      </c>
      <c r="AA26" t="n">
        <v>115</v>
      </c>
      <c r="AB26" t="n">
        <v>111</v>
      </c>
      <c r="AC26" t="n">
        <v>109</v>
      </c>
      <c r="AD26" t="n">
        <v>110</v>
      </c>
      <c r="AE26" t="n">
        <v>115</v>
      </c>
      <c r="AF26" t="n">
        <v>115</v>
      </c>
      <c r="AG26" t="n">
        <v>115</v>
      </c>
      <c r="AH26" t="n">
        <v>115</v>
      </c>
      <c r="AI26" t="n">
        <v>115</v>
      </c>
      <c r="AJ26" t="n">
        <v>115</v>
      </c>
      <c r="AK26" t="n">
        <v>115</v>
      </c>
      <c r="AL26" t="n">
        <v>115</v>
      </c>
      <c r="AM26" t="n">
        <v>115</v>
      </c>
      <c r="AN26" t="n">
        <v>115</v>
      </c>
      <c r="AO26" t="n">
        <v>100</v>
      </c>
      <c r="AP26" t="n">
        <v>82</v>
      </c>
      <c r="AR26" t="n">
        <v>58</v>
      </c>
      <c r="AS26" t="n">
        <v>30</v>
      </c>
      <c r="AU26" t="n">
        <v>24</v>
      </c>
      <c r="AV26" t="n">
        <v>20</v>
      </c>
      <c r="AW26" t="n">
        <v>10</v>
      </c>
      <c r="AY26" t="n">
        <v>24</v>
      </c>
      <c r="AZ26" t="n">
        <v>-4</v>
      </c>
      <c r="BB26" t="n">
        <v>24</v>
      </c>
      <c r="BC26" t="n">
        <v>-4</v>
      </c>
    </row>
    <row r="27">
      <c r="A27" s="6" t="n">
        <v>19</v>
      </c>
      <c r="B27" s="7" t="n"/>
      <c r="D27" s="6" t="n">
        <v>54</v>
      </c>
      <c r="E27" s="7" t="n"/>
      <c r="G27" s="6" t="n">
        <v>89</v>
      </c>
      <c r="H27" s="7" t="n"/>
      <c r="J27" s="6" t="n">
        <v>124</v>
      </c>
      <c r="K27" s="7" t="n"/>
      <c r="M27" s="6" t="n">
        <v>159</v>
      </c>
      <c r="N27" s="7" t="n"/>
      <c r="P27" t="n">
        <v>25</v>
      </c>
      <c r="Q27" t="n">
        <v>115</v>
      </c>
      <c r="R27" t="n">
        <v>115</v>
      </c>
      <c r="S27" t="n">
        <v>115</v>
      </c>
      <c r="T27" t="n">
        <v>115</v>
      </c>
      <c r="U27" t="n">
        <v>88</v>
      </c>
      <c r="V27" t="n">
        <v>115</v>
      </c>
      <c r="W27" t="n">
        <v>115</v>
      </c>
      <c r="X27" t="n">
        <v>110</v>
      </c>
      <c r="Y27" t="n">
        <v>87</v>
      </c>
      <c r="Z27" t="n">
        <v>101</v>
      </c>
      <c r="AA27" t="n">
        <v>115</v>
      </c>
      <c r="AB27" t="n">
        <v>115</v>
      </c>
      <c r="AC27" t="n">
        <v>112</v>
      </c>
      <c r="AD27" t="n">
        <v>115</v>
      </c>
      <c r="AE27" t="n">
        <v>115</v>
      </c>
      <c r="AF27" t="n">
        <v>115</v>
      </c>
      <c r="AG27" t="n">
        <v>115</v>
      </c>
      <c r="AH27" t="n">
        <v>115</v>
      </c>
      <c r="AI27" t="n">
        <v>115</v>
      </c>
      <c r="AJ27" t="n">
        <v>115</v>
      </c>
      <c r="AK27" t="n">
        <v>115</v>
      </c>
      <c r="AL27" t="n">
        <v>115</v>
      </c>
      <c r="AM27" t="n">
        <v>115</v>
      </c>
      <c r="AN27" t="n">
        <v>115</v>
      </c>
      <c r="AO27" t="n">
        <v>100</v>
      </c>
      <c r="AP27" t="n">
        <v>84</v>
      </c>
      <c r="AR27" t="n">
        <v>59</v>
      </c>
      <c r="AS27" t="n">
        <v>32</v>
      </c>
      <c r="AU27" t="n">
        <v>25</v>
      </c>
      <c r="AV27" t="n">
        <v>20</v>
      </c>
      <c r="AW27" t="n">
        <v>10</v>
      </c>
      <c r="AY27" t="n">
        <v>25</v>
      </c>
      <c r="AZ27" t="n">
        <v>-4</v>
      </c>
      <c r="BB27" t="n">
        <v>25</v>
      </c>
      <c r="BC27" t="n">
        <v>-5</v>
      </c>
    </row>
    <row r="28">
      <c r="A28" s="6" t="n">
        <v>20</v>
      </c>
      <c r="B28" s="7" t="n"/>
      <c r="D28" s="6" t="n">
        <v>55</v>
      </c>
      <c r="E28" s="7" t="n"/>
      <c r="G28" s="6" t="n">
        <v>90</v>
      </c>
      <c r="H28" s="7" t="n"/>
      <c r="J28" s="6" t="n">
        <v>125</v>
      </c>
      <c r="K28" s="7" t="n"/>
      <c r="M28" s="6" t="n">
        <v>160</v>
      </c>
      <c r="N28" s="7" t="n"/>
      <c r="P28" t="n">
        <v>26</v>
      </c>
      <c r="Q28" t="n">
        <v>115</v>
      </c>
      <c r="R28" t="n">
        <v>115</v>
      </c>
      <c r="S28" t="n">
        <v>115</v>
      </c>
      <c r="T28" t="n">
        <v>115</v>
      </c>
      <c r="U28" t="n">
        <v>88</v>
      </c>
      <c r="V28" t="n">
        <v>115</v>
      </c>
      <c r="W28" t="n">
        <v>115</v>
      </c>
      <c r="X28" t="n">
        <v>115</v>
      </c>
      <c r="Y28" t="n">
        <v>87</v>
      </c>
      <c r="Z28" t="n">
        <v>105</v>
      </c>
      <c r="AA28" t="n">
        <v>115</v>
      </c>
      <c r="AB28" t="n">
        <v>115</v>
      </c>
      <c r="AC28" t="n">
        <v>115</v>
      </c>
      <c r="AD28" t="n">
        <v>115</v>
      </c>
      <c r="AE28" t="n">
        <v>115</v>
      </c>
      <c r="AF28" t="n">
        <v>115</v>
      </c>
      <c r="AG28" t="n">
        <v>115</v>
      </c>
      <c r="AH28" t="n">
        <v>115</v>
      </c>
      <c r="AI28" t="n">
        <v>115</v>
      </c>
      <c r="AJ28" t="n">
        <v>115</v>
      </c>
      <c r="AK28" t="n">
        <v>115</v>
      </c>
      <c r="AL28" t="n">
        <v>115</v>
      </c>
      <c r="AM28" t="n">
        <v>115</v>
      </c>
      <c r="AN28" t="n">
        <v>115</v>
      </c>
      <c r="AO28" t="n">
        <v>100</v>
      </c>
      <c r="AP28" t="n">
        <v>85</v>
      </c>
      <c r="AR28" t="n">
        <v>60</v>
      </c>
      <c r="AS28" t="n">
        <v>33</v>
      </c>
      <c r="AU28" t="n">
        <v>26</v>
      </c>
      <c r="AV28" t="n">
        <v>20</v>
      </c>
      <c r="AW28" t="n">
        <v>10</v>
      </c>
      <c r="AY28" t="n">
        <v>26</v>
      </c>
      <c r="AZ28" t="n">
        <v>-4</v>
      </c>
      <c r="BB28" t="n">
        <v>26</v>
      </c>
      <c r="BC28" t="n">
        <v>-5</v>
      </c>
    </row>
    <row r="29">
      <c r="A29" s="6" t="n">
        <v>21</v>
      </c>
      <c r="B29" s="7" t="n"/>
      <c r="D29" s="6" t="n">
        <v>56</v>
      </c>
      <c r="E29" s="7" t="n"/>
      <c r="G29" s="6" t="n">
        <v>91</v>
      </c>
      <c r="H29" s="7" t="n"/>
      <c r="J29" s="6" t="n">
        <v>126</v>
      </c>
      <c r="K29" s="7" t="n"/>
      <c r="M29" s="6" t="n">
        <v>161</v>
      </c>
      <c r="N29" s="7" t="n"/>
      <c r="P29" t="n">
        <v>27</v>
      </c>
      <c r="Q29" t="n">
        <v>115</v>
      </c>
      <c r="R29" t="n">
        <v>115</v>
      </c>
      <c r="S29" t="n">
        <v>115</v>
      </c>
      <c r="T29" t="n">
        <v>115</v>
      </c>
      <c r="U29" t="n">
        <v>88</v>
      </c>
      <c r="V29" t="n">
        <v>115</v>
      </c>
      <c r="W29" t="n">
        <v>115</v>
      </c>
      <c r="X29" t="n">
        <v>115</v>
      </c>
      <c r="Y29" t="n">
        <v>87</v>
      </c>
      <c r="Z29" t="n">
        <v>110</v>
      </c>
      <c r="AA29" t="n">
        <v>115</v>
      </c>
      <c r="AB29" t="n">
        <v>115</v>
      </c>
      <c r="AC29" t="n">
        <v>115</v>
      </c>
      <c r="AD29" t="n">
        <v>115</v>
      </c>
      <c r="AE29" t="n">
        <v>115</v>
      </c>
      <c r="AF29" t="n">
        <v>115</v>
      </c>
      <c r="AG29" t="n">
        <v>115</v>
      </c>
      <c r="AH29" t="n">
        <v>115</v>
      </c>
      <c r="AI29" t="n">
        <v>115</v>
      </c>
      <c r="AJ29" t="n">
        <v>115</v>
      </c>
      <c r="AK29" t="n">
        <v>115</v>
      </c>
      <c r="AL29" t="n">
        <v>115</v>
      </c>
      <c r="AM29" t="n">
        <v>115</v>
      </c>
      <c r="AN29" t="n">
        <v>115</v>
      </c>
      <c r="AO29" t="n">
        <v>100</v>
      </c>
      <c r="AP29" t="n">
        <v>86</v>
      </c>
      <c r="AR29" t="n">
        <v>61</v>
      </c>
      <c r="AS29" t="n">
        <v>35</v>
      </c>
      <c r="AU29" t="n">
        <v>27</v>
      </c>
      <c r="AV29" t="n">
        <v>20</v>
      </c>
      <c r="AW29" t="n">
        <v>10</v>
      </c>
      <c r="AY29" t="n">
        <v>27</v>
      </c>
      <c r="AZ29" t="n">
        <v>-4</v>
      </c>
      <c r="BB29" t="n">
        <v>27</v>
      </c>
      <c r="BC29" t="n">
        <v>-5</v>
      </c>
    </row>
    <row r="30">
      <c r="A30" s="6" t="n">
        <v>22</v>
      </c>
      <c r="B30" s="7" t="n"/>
      <c r="D30" s="6" t="n">
        <v>57</v>
      </c>
      <c r="E30" s="7" t="n"/>
      <c r="G30" s="6" t="n">
        <v>92</v>
      </c>
      <c r="H30" s="7" t="n"/>
      <c r="J30" s="6" t="n">
        <v>127</v>
      </c>
      <c r="K30" s="7" t="n"/>
      <c r="M30" s="6" t="n">
        <v>162</v>
      </c>
      <c r="N30" s="7" t="n"/>
      <c r="P30" t="n">
        <v>28</v>
      </c>
      <c r="Q30" t="n">
        <v>115</v>
      </c>
      <c r="R30" t="n">
        <v>115</v>
      </c>
      <c r="S30" t="n">
        <v>115</v>
      </c>
      <c r="T30" t="n">
        <v>115</v>
      </c>
      <c r="U30" t="n">
        <v>88</v>
      </c>
      <c r="V30" t="n">
        <v>115</v>
      </c>
      <c r="W30" t="n">
        <v>115</v>
      </c>
      <c r="X30" t="n">
        <v>115</v>
      </c>
      <c r="Y30" t="n">
        <v>87</v>
      </c>
      <c r="Z30" t="n">
        <v>115</v>
      </c>
      <c r="AA30" t="n">
        <v>115</v>
      </c>
      <c r="AB30" t="n">
        <v>115</v>
      </c>
      <c r="AC30" t="n">
        <v>115</v>
      </c>
      <c r="AD30" t="n">
        <v>115</v>
      </c>
      <c r="AE30" t="n">
        <v>115</v>
      </c>
      <c r="AF30" t="n">
        <v>115</v>
      </c>
      <c r="AG30" t="n">
        <v>115</v>
      </c>
      <c r="AH30" t="n">
        <v>115</v>
      </c>
      <c r="AI30" t="n">
        <v>115</v>
      </c>
      <c r="AJ30" t="n">
        <v>115</v>
      </c>
      <c r="AK30" t="n">
        <v>115</v>
      </c>
      <c r="AL30" t="n">
        <v>115</v>
      </c>
      <c r="AM30" t="n">
        <v>115</v>
      </c>
      <c r="AN30" t="n">
        <v>115</v>
      </c>
      <c r="AO30" t="n">
        <v>100</v>
      </c>
      <c r="AP30" t="n">
        <v>88</v>
      </c>
      <c r="AR30" t="n">
        <v>62</v>
      </c>
      <c r="AS30" t="n">
        <v>36</v>
      </c>
      <c r="AU30" t="n">
        <v>28</v>
      </c>
      <c r="AV30" t="n">
        <v>20</v>
      </c>
      <c r="AW30" t="n">
        <v>10</v>
      </c>
      <c r="AY30" t="n">
        <v>28</v>
      </c>
      <c r="AZ30" t="n">
        <v>-4</v>
      </c>
      <c r="BB30" t="n">
        <v>28</v>
      </c>
      <c r="BC30" t="n">
        <v>-5</v>
      </c>
    </row>
    <row r="31">
      <c r="A31" s="6" t="n">
        <v>23</v>
      </c>
      <c r="B31" s="7" t="n"/>
      <c r="D31" s="6" t="n">
        <v>58</v>
      </c>
      <c r="E31" s="7" t="n"/>
      <c r="G31" s="6" t="n">
        <v>93</v>
      </c>
      <c r="H31" s="7" t="n"/>
      <c r="J31" s="6" t="n">
        <v>128</v>
      </c>
      <c r="K31" s="7" t="n"/>
      <c r="M31" s="6" t="n">
        <v>163</v>
      </c>
      <c r="N31" s="7" t="n"/>
      <c r="P31" t="n">
        <v>29</v>
      </c>
      <c r="Q31" t="n">
        <v>115</v>
      </c>
      <c r="R31" t="n">
        <v>115</v>
      </c>
      <c r="S31" t="n">
        <v>115</v>
      </c>
      <c r="T31" t="n">
        <v>115</v>
      </c>
      <c r="U31" t="n">
        <v>88</v>
      </c>
      <c r="V31" t="n">
        <v>115</v>
      </c>
      <c r="W31" t="n">
        <v>115</v>
      </c>
      <c r="X31" t="n">
        <v>115</v>
      </c>
      <c r="Y31" t="n">
        <v>87</v>
      </c>
      <c r="Z31" t="n">
        <v>115</v>
      </c>
      <c r="AA31" t="n">
        <v>115</v>
      </c>
      <c r="AB31" t="n">
        <v>115</v>
      </c>
      <c r="AC31" t="n">
        <v>115</v>
      </c>
      <c r="AD31" t="n">
        <v>115</v>
      </c>
      <c r="AE31" t="n">
        <v>115</v>
      </c>
      <c r="AF31" t="n">
        <v>115</v>
      </c>
      <c r="AG31" t="n">
        <v>115</v>
      </c>
      <c r="AH31" t="n">
        <v>115</v>
      </c>
      <c r="AI31" t="n">
        <v>115</v>
      </c>
      <c r="AJ31" t="n">
        <v>115</v>
      </c>
      <c r="AK31" t="n">
        <v>115</v>
      </c>
      <c r="AL31" t="n">
        <v>115</v>
      </c>
      <c r="AM31" t="n">
        <v>115</v>
      </c>
      <c r="AN31" t="n">
        <v>115</v>
      </c>
      <c r="AO31" t="n">
        <v>100</v>
      </c>
      <c r="AP31" t="n">
        <v>90</v>
      </c>
      <c r="AR31" t="n">
        <v>63</v>
      </c>
      <c r="AS31" t="n">
        <v>37</v>
      </c>
      <c r="AU31" t="n">
        <v>29</v>
      </c>
      <c r="AV31" t="n">
        <v>20</v>
      </c>
      <c r="AW31" t="n">
        <v>10</v>
      </c>
      <c r="AY31" t="n">
        <v>29</v>
      </c>
      <c r="AZ31" t="n">
        <v>-4</v>
      </c>
      <c r="BB31" t="n">
        <v>29</v>
      </c>
      <c r="BC31" t="n">
        <v>-5</v>
      </c>
    </row>
    <row r="32">
      <c r="A32" s="6" t="n">
        <v>24</v>
      </c>
      <c r="B32" s="7" t="n"/>
      <c r="D32" s="6" t="n">
        <v>59</v>
      </c>
      <c r="E32" s="7" t="n"/>
      <c r="G32" s="6" t="n">
        <v>94</v>
      </c>
      <c r="H32" s="7" t="n"/>
      <c r="J32" s="6" t="n">
        <v>129</v>
      </c>
      <c r="K32" s="7" t="n"/>
      <c r="M32" s="6" t="n">
        <v>164</v>
      </c>
      <c r="N32" s="7" t="n"/>
      <c r="P32" t="n">
        <v>30</v>
      </c>
      <c r="Q32" t="n">
        <v>115</v>
      </c>
      <c r="R32" t="n">
        <v>115</v>
      </c>
      <c r="S32" t="n">
        <v>115</v>
      </c>
      <c r="T32" t="n">
        <v>115</v>
      </c>
      <c r="U32" t="n">
        <v>88</v>
      </c>
      <c r="V32" t="n">
        <v>115</v>
      </c>
      <c r="W32" t="n">
        <v>115</v>
      </c>
      <c r="X32" t="n">
        <v>115</v>
      </c>
      <c r="Y32" t="n">
        <v>87</v>
      </c>
      <c r="Z32" t="n">
        <v>115</v>
      </c>
      <c r="AA32" t="n">
        <v>115</v>
      </c>
      <c r="AB32" t="n">
        <v>115</v>
      </c>
      <c r="AC32" t="n">
        <v>115</v>
      </c>
      <c r="AD32" t="n">
        <v>115</v>
      </c>
      <c r="AE32" t="n">
        <v>115</v>
      </c>
      <c r="AF32" t="n">
        <v>115</v>
      </c>
      <c r="AG32" t="n">
        <v>115</v>
      </c>
      <c r="AH32" t="n">
        <v>115</v>
      </c>
      <c r="AI32" t="n">
        <v>115</v>
      </c>
      <c r="AJ32" t="n">
        <v>115</v>
      </c>
      <c r="AK32" t="n">
        <v>115</v>
      </c>
      <c r="AL32" t="n">
        <v>115</v>
      </c>
      <c r="AM32" t="n">
        <v>115</v>
      </c>
      <c r="AN32" t="n">
        <v>115</v>
      </c>
      <c r="AO32" t="n">
        <v>100</v>
      </c>
      <c r="AP32" t="n">
        <v>92</v>
      </c>
      <c r="AR32" t="n">
        <v>64</v>
      </c>
      <c r="AS32" t="n">
        <v>37</v>
      </c>
      <c r="AU32" t="n">
        <v>30</v>
      </c>
      <c r="AV32" t="n">
        <v>20</v>
      </c>
      <c r="AW32" t="n">
        <v>10</v>
      </c>
      <c r="AY32" t="n">
        <v>30</v>
      </c>
      <c r="AZ32" t="n">
        <v>-4</v>
      </c>
      <c r="BB32" t="n">
        <v>30</v>
      </c>
      <c r="BC32" t="n">
        <v>-6</v>
      </c>
    </row>
    <row r="33">
      <c r="A33" s="6" t="n">
        <v>25</v>
      </c>
      <c r="B33" s="7" t="n"/>
      <c r="D33" s="6" t="n">
        <v>60</v>
      </c>
      <c r="E33" s="7" t="n"/>
      <c r="G33" s="6" t="n">
        <v>95</v>
      </c>
      <c r="H33" s="7" t="n"/>
      <c r="J33" s="6" t="n">
        <v>130</v>
      </c>
      <c r="K33" s="7" t="n"/>
      <c r="M33" s="6" t="n">
        <v>165</v>
      </c>
      <c r="N33" s="7" t="n"/>
      <c r="P33" t="n">
        <v>31</v>
      </c>
      <c r="Q33" t="n">
        <v>115</v>
      </c>
      <c r="R33" t="n">
        <v>115</v>
      </c>
      <c r="S33" t="n">
        <v>115</v>
      </c>
      <c r="T33" t="n">
        <v>115</v>
      </c>
      <c r="U33" t="n">
        <v>88</v>
      </c>
      <c r="V33" t="n">
        <v>115</v>
      </c>
      <c r="W33" t="n">
        <v>115</v>
      </c>
      <c r="X33" t="n">
        <v>115</v>
      </c>
      <c r="Y33" t="n">
        <v>87</v>
      </c>
      <c r="Z33" t="n">
        <v>115</v>
      </c>
      <c r="AA33" t="n">
        <v>115</v>
      </c>
      <c r="AB33" t="n">
        <v>115</v>
      </c>
      <c r="AC33" t="n">
        <v>115</v>
      </c>
      <c r="AD33" t="n">
        <v>115</v>
      </c>
      <c r="AE33" t="n">
        <v>115</v>
      </c>
      <c r="AF33" t="n">
        <v>115</v>
      </c>
      <c r="AG33" t="n">
        <v>115</v>
      </c>
      <c r="AH33" t="n">
        <v>115</v>
      </c>
      <c r="AI33" t="n">
        <v>115</v>
      </c>
      <c r="AJ33" t="n">
        <v>115</v>
      </c>
      <c r="AK33" t="n">
        <v>115</v>
      </c>
      <c r="AL33" t="n">
        <v>115</v>
      </c>
      <c r="AM33" t="n">
        <v>115</v>
      </c>
      <c r="AN33" t="n">
        <v>115</v>
      </c>
      <c r="AO33" t="n">
        <v>100</v>
      </c>
      <c r="AP33" t="n">
        <v>94</v>
      </c>
      <c r="AR33" t="n">
        <v>65</v>
      </c>
      <c r="AS33" t="n">
        <v>38</v>
      </c>
      <c r="AU33" t="n">
        <v>31</v>
      </c>
      <c r="AV33" t="n">
        <v>20</v>
      </c>
      <c r="AW33" t="n">
        <v>10</v>
      </c>
      <c r="AY33" t="n">
        <v>31</v>
      </c>
      <c r="AZ33" t="n">
        <v>-4</v>
      </c>
      <c r="BB33" t="n">
        <v>31</v>
      </c>
      <c r="BC33" t="n">
        <v>-6</v>
      </c>
    </row>
    <row r="34">
      <c r="A34" s="6" t="n">
        <v>26</v>
      </c>
      <c r="B34" s="7" t="n"/>
      <c r="D34" s="6" t="n">
        <v>61</v>
      </c>
      <c r="E34" s="7" t="n"/>
      <c r="G34" s="6" t="n">
        <v>96</v>
      </c>
      <c r="H34" s="7" t="n"/>
      <c r="J34" s="6" t="n">
        <v>131</v>
      </c>
      <c r="K34" s="7" t="n"/>
      <c r="M34" s="6" t="n">
        <v>166</v>
      </c>
      <c r="N34" s="7" t="n"/>
      <c r="P34" t="n">
        <v>32</v>
      </c>
      <c r="Q34" t="n">
        <v>115</v>
      </c>
      <c r="R34" t="n">
        <v>115</v>
      </c>
      <c r="S34" t="n">
        <v>115</v>
      </c>
      <c r="T34" t="n">
        <v>115</v>
      </c>
      <c r="U34" t="n">
        <v>88</v>
      </c>
      <c r="V34" t="n">
        <v>115</v>
      </c>
      <c r="W34" t="n">
        <v>115</v>
      </c>
      <c r="X34" t="n">
        <v>115</v>
      </c>
      <c r="Y34" t="n">
        <v>87</v>
      </c>
      <c r="Z34" t="n">
        <v>115</v>
      </c>
      <c r="AA34" t="n">
        <v>115</v>
      </c>
      <c r="AB34" t="n">
        <v>115</v>
      </c>
      <c r="AC34" t="n">
        <v>115</v>
      </c>
      <c r="AD34" t="n">
        <v>115</v>
      </c>
      <c r="AE34" t="n">
        <v>115</v>
      </c>
      <c r="AF34" t="n">
        <v>115</v>
      </c>
      <c r="AG34" t="n">
        <v>115</v>
      </c>
      <c r="AH34" t="n">
        <v>115</v>
      </c>
      <c r="AI34" t="n">
        <v>115</v>
      </c>
      <c r="AJ34" t="n">
        <v>115</v>
      </c>
      <c r="AK34" t="n">
        <v>115</v>
      </c>
      <c r="AL34" t="n">
        <v>115</v>
      </c>
      <c r="AM34" t="n">
        <v>115</v>
      </c>
      <c r="AN34" t="n">
        <v>115</v>
      </c>
      <c r="AO34" t="n">
        <v>100</v>
      </c>
      <c r="AP34" t="n">
        <v>96</v>
      </c>
      <c r="AR34" t="n">
        <v>66</v>
      </c>
      <c r="AS34" t="n">
        <v>39</v>
      </c>
      <c r="AU34" t="n">
        <v>32</v>
      </c>
      <c r="AV34" t="n">
        <v>20</v>
      </c>
      <c r="AW34" t="n">
        <v>10</v>
      </c>
      <c r="AY34" t="n">
        <v>32</v>
      </c>
      <c r="AZ34" t="n">
        <v>-5</v>
      </c>
      <c r="BB34" t="n">
        <v>32</v>
      </c>
      <c r="BC34" t="n">
        <v>-6</v>
      </c>
    </row>
    <row r="35">
      <c r="A35" s="6" t="n">
        <v>27</v>
      </c>
      <c r="B35" s="7" t="n"/>
      <c r="D35" s="6" t="n">
        <v>62</v>
      </c>
      <c r="E35" s="7" t="n"/>
      <c r="G35" s="6" t="n">
        <v>97</v>
      </c>
      <c r="H35" s="7" t="n"/>
      <c r="J35" s="6" t="n">
        <v>132</v>
      </c>
      <c r="K35" s="7" t="n"/>
      <c r="M35" s="6" t="n">
        <v>167</v>
      </c>
      <c r="N35" s="7" t="n"/>
      <c r="P35" t="n">
        <v>33</v>
      </c>
      <c r="Q35" t="n">
        <v>115</v>
      </c>
      <c r="R35" t="n">
        <v>115</v>
      </c>
      <c r="S35" t="n">
        <v>115</v>
      </c>
      <c r="T35" t="n">
        <v>115</v>
      </c>
      <c r="U35" t="n">
        <v>88</v>
      </c>
      <c r="V35" t="n">
        <v>115</v>
      </c>
      <c r="W35" t="n">
        <v>115</v>
      </c>
      <c r="X35" t="n">
        <v>115</v>
      </c>
      <c r="Y35" t="n">
        <v>87</v>
      </c>
      <c r="Z35" t="n">
        <v>115</v>
      </c>
      <c r="AA35" t="n">
        <v>115</v>
      </c>
      <c r="AB35" t="n">
        <v>115</v>
      </c>
      <c r="AC35" t="n">
        <v>115</v>
      </c>
      <c r="AD35" t="n">
        <v>115</v>
      </c>
      <c r="AE35" t="n">
        <v>115</v>
      </c>
      <c r="AF35" t="n">
        <v>115</v>
      </c>
      <c r="AG35" t="n">
        <v>115</v>
      </c>
      <c r="AH35" t="n">
        <v>115</v>
      </c>
      <c r="AI35" t="n">
        <v>115</v>
      </c>
      <c r="AJ35" t="n">
        <v>115</v>
      </c>
      <c r="AK35" t="n">
        <v>115</v>
      </c>
      <c r="AL35" t="n">
        <v>115</v>
      </c>
      <c r="AM35" t="n">
        <v>115</v>
      </c>
      <c r="AN35" t="n">
        <v>115</v>
      </c>
      <c r="AO35" t="n">
        <v>100</v>
      </c>
      <c r="AP35" t="n">
        <v>98</v>
      </c>
      <c r="AR35" t="n">
        <v>67</v>
      </c>
      <c r="AS35" t="n">
        <v>39</v>
      </c>
      <c r="AU35" t="n">
        <v>33</v>
      </c>
      <c r="AV35" t="n">
        <v>20</v>
      </c>
      <c r="AW35" t="n">
        <v>10</v>
      </c>
      <c r="AY35" t="n">
        <v>33</v>
      </c>
      <c r="AZ35" t="n">
        <v>-5</v>
      </c>
      <c r="BB35" t="n">
        <v>33</v>
      </c>
      <c r="BC35" t="n">
        <v>-6</v>
      </c>
    </row>
    <row r="36">
      <c r="A36" s="6" t="n">
        <v>28</v>
      </c>
      <c r="B36" s="7" t="n"/>
      <c r="D36" s="6" t="n">
        <v>63</v>
      </c>
      <c r="E36" s="7" t="n"/>
      <c r="G36" s="6" t="n">
        <v>98</v>
      </c>
      <c r="H36" s="7" t="n"/>
      <c r="J36" s="6" t="n">
        <v>133</v>
      </c>
      <c r="K36" s="7" t="n"/>
      <c r="M36" s="6" t="n">
        <v>168</v>
      </c>
      <c r="N36" s="7" t="n"/>
      <c r="P36" t="n">
        <v>34</v>
      </c>
      <c r="Q36" t="n">
        <v>115</v>
      </c>
      <c r="R36" t="n">
        <v>115</v>
      </c>
      <c r="S36" t="n">
        <v>115</v>
      </c>
      <c r="T36" t="n">
        <v>115</v>
      </c>
      <c r="U36" t="n">
        <v>88</v>
      </c>
      <c r="V36" t="n">
        <v>115</v>
      </c>
      <c r="W36" t="n">
        <v>115</v>
      </c>
      <c r="X36" t="n">
        <v>115</v>
      </c>
      <c r="Y36" t="n">
        <v>87</v>
      </c>
      <c r="Z36" t="n">
        <v>115</v>
      </c>
      <c r="AA36" t="n">
        <v>115</v>
      </c>
      <c r="AB36" t="n">
        <v>115</v>
      </c>
      <c r="AC36" t="n">
        <v>115</v>
      </c>
      <c r="AD36" t="n">
        <v>115</v>
      </c>
      <c r="AE36" t="n">
        <v>115</v>
      </c>
      <c r="AF36" t="n">
        <v>115</v>
      </c>
      <c r="AG36" t="n">
        <v>115</v>
      </c>
      <c r="AH36" t="n">
        <v>115</v>
      </c>
      <c r="AI36" t="n">
        <v>115</v>
      </c>
      <c r="AJ36" t="n">
        <v>115</v>
      </c>
      <c r="AK36" t="n">
        <v>115</v>
      </c>
      <c r="AL36" t="n">
        <v>115</v>
      </c>
      <c r="AM36" t="n">
        <v>115</v>
      </c>
      <c r="AN36" t="n">
        <v>115</v>
      </c>
      <c r="AO36" t="n">
        <v>100</v>
      </c>
      <c r="AP36" t="n">
        <v>100</v>
      </c>
      <c r="AR36" t="n">
        <v>68</v>
      </c>
      <c r="AS36" t="n">
        <v>40</v>
      </c>
      <c r="AU36" t="n">
        <v>34</v>
      </c>
      <c r="AV36" t="n">
        <v>20</v>
      </c>
      <c r="AW36" t="n">
        <v>10</v>
      </c>
      <c r="AY36" t="n">
        <v>34</v>
      </c>
      <c r="AZ36" t="n">
        <v>-5</v>
      </c>
      <c r="BB36" t="n">
        <v>34</v>
      </c>
      <c r="BC36" t="n">
        <v>-6</v>
      </c>
    </row>
    <row r="37">
      <c r="A37" s="6" t="n">
        <v>29</v>
      </c>
      <c r="B37" s="7" t="n"/>
      <c r="D37" s="6" t="n">
        <v>64</v>
      </c>
      <c r="E37" s="7" t="n"/>
      <c r="G37" s="6" t="n">
        <v>99</v>
      </c>
      <c r="H37" s="7" t="n"/>
      <c r="J37" s="6" t="n">
        <v>134</v>
      </c>
      <c r="K37" s="7" t="n"/>
      <c r="M37" s="6" t="n">
        <v>169</v>
      </c>
      <c r="N37" s="7" t="n"/>
      <c r="P37" t="n">
        <v>35</v>
      </c>
      <c r="Q37" t="n">
        <v>115</v>
      </c>
      <c r="R37" t="n">
        <v>115</v>
      </c>
      <c r="S37" t="n">
        <v>115</v>
      </c>
      <c r="T37" t="n">
        <v>115</v>
      </c>
      <c r="U37" t="n">
        <v>88</v>
      </c>
      <c r="V37" t="n">
        <v>115</v>
      </c>
      <c r="W37" t="n">
        <v>115</v>
      </c>
      <c r="X37" t="n">
        <v>115</v>
      </c>
      <c r="Y37" t="n">
        <v>87</v>
      </c>
      <c r="Z37" t="n">
        <v>115</v>
      </c>
      <c r="AA37" t="n">
        <v>115</v>
      </c>
      <c r="AB37" t="n">
        <v>115</v>
      </c>
      <c r="AC37" t="n">
        <v>115</v>
      </c>
      <c r="AD37" t="n">
        <v>115</v>
      </c>
      <c r="AE37" t="n">
        <v>115</v>
      </c>
      <c r="AF37" t="n">
        <v>115</v>
      </c>
      <c r="AG37" t="n">
        <v>115</v>
      </c>
      <c r="AH37" t="n">
        <v>115</v>
      </c>
      <c r="AI37" t="n">
        <v>115</v>
      </c>
      <c r="AJ37" t="n">
        <v>115</v>
      </c>
      <c r="AK37" t="n">
        <v>115</v>
      </c>
      <c r="AL37" t="n">
        <v>115</v>
      </c>
      <c r="AM37" t="n">
        <v>115</v>
      </c>
      <c r="AN37" t="n">
        <v>115</v>
      </c>
      <c r="AO37" t="n">
        <v>100</v>
      </c>
      <c r="AP37" t="n">
        <v>100</v>
      </c>
      <c r="AR37" t="n">
        <v>69</v>
      </c>
      <c r="AS37" t="n">
        <v>41</v>
      </c>
      <c r="AU37" t="n">
        <v>35</v>
      </c>
      <c r="AV37" t="n">
        <v>20</v>
      </c>
      <c r="AW37" t="n">
        <v>10</v>
      </c>
      <c r="AY37" t="n">
        <v>35</v>
      </c>
      <c r="AZ37" t="n">
        <v>-5</v>
      </c>
      <c r="BB37" t="n">
        <v>35</v>
      </c>
      <c r="BC37" t="n">
        <v>-7</v>
      </c>
    </row>
    <row r="38">
      <c r="A38" s="6" t="n">
        <v>30</v>
      </c>
      <c r="B38" s="7" t="n"/>
      <c r="D38" s="6" t="n">
        <v>65</v>
      </c>
      <c r="E38" s="7" t="n"/>
      <c r="G38" s="6" t="n">
        <v>100</v>
      </c>
      <c r="H38" s="7" t="n"/>
      <c r="J38" s="6" t="n">
        <v>135</v>
      </c>
      <c r="K38" s="7" t="n"/>
      <c r="M38" s="6" t="n">
        <v>170</v>
      </c>
      <c r="N38" s="7" t="n"/>
      <c r="AR38" t="n">
        <v>70</v>
      </c>
      <c r="AS38" t="n">
        <v>41</v>
      </c>
      <c r="AU38" t="n">
        <v>36</v>
      </c>
      <c r="AV38" t="n">
        <v>20</v>
      </c>
      <c r="AW38" t="n">
        <v>10</v>
      </c>
      <c r="AY38" t="n">
        <v>36</v>
      </c>
      <c r="AZ38" t="n">
        <v>-5</v>
      </c>
      <c r="BB38" t="n">
        <v>36</v>
      </c>
      <c r="BC38" t="n">
        <v>-7</v>
      </c>
    </row>
    <row r="39">
      <c r="A39" s="6" t="n">
        <v>31</v>
      </c>
      <c r="B39" s="7" t="n"/>
      <c r="D39" s="6" t="n">
        <v>66</v>
      </c>
      <c r="E39" s="7" t="n"/>
      <c r="G39" s="6" t="n">
        <v>101</v>
      </c>
      <c r="H39" s="7" t="n"/>
      <c r="J39" s="6" t="n">
        <v>136</v>
      </c>
      <c r="K39" s="7" t="n"/>
      <c r="M39" s="6" t="n">
        <v>171</v>
      </c>
      <c r="N39" s="7" t="n"/>
      <c r="AR39" t="n">
        <v>71</v>
      </c>
      <c r="AS39" t="n">
        <v>42</v>
      </c>
      <c r="AU39" t="n">
        <v>37</v>
      </c>
      <c r="AV39" t="n">
        <v>19</v>
      </c>
      <c r="AW39" t="n">
        <v>10</v>
      </c>
      <c r="AY39" t="n">
        <v>37</v>
      </c>
      <c r="AZ39" t="n">
        <v>-5</v>
      </c>
      <c r="BB39" t="n">
        <v>37</v>
      </c>
      <c r="BC39" t="n">
        <v>-7</v>
      </c>
    </row>
    <row r="40">
      <c r="A40" s="6" t="n">
        <v>32</v>
      </c>
      <c r="B40" s="7" t="n"/>
      <c r="D40" s="6" t="n">
        <v>67</v>
      </c>
      <c r="E40" s="7" t="n"/>
      <c r="G40" s="6" t="n">
        <v>102</v>
      </c>
      <c r="H40" s="7" t="n"/>
      <c r="J40" s="6" t="n">
        <v>137</v>
      </c>
      <c r="K40" s="7" t="n"/>
      <c r="M40" s="6" t="n">
        <v>172</v>
      </c>
      <c r="N40" s="7" t="n"/>
      <c r="AR40" t="n">
        <v>72</v>
      </c>
      <c r="AS40" t="n">
        <v>43</v>
      </c>
      <c r="AU40" t="n">
        <v>38</v>
      </c>
      <c r="AV40" t="n">
        <v>18</v>
      </c>
      <c r="AW40" t="n">
        <v>10</v>
      </c>
      <c r="AY40" t="n">
        <v>38</v>
      </c>
      <c r="AZ40" t="n">
        <v>-5</v>
      </c>
      <c r="BB40" t="n">
        <v>38</v>
      </c>
      <c r="BC40" t="n">
        <v>-7</v>
      </c>
    </row>
    <row r="41">
      <c r="A41" s="6" t="n">
        <v>33</v>
      </c>
      <c r="B41" s="7" t="n"/>
      <c r="D41" s="6" t="n">
        <v>68</v>
      </c>
      <c r="E41" s="7" t="n"/>
      <c r="G41" s="6" t="n">
        <v>103</v>
      </c>
      <c r="H41" s="7" t="n"/>
      <c r="J41" s="6" t="n">
        <v>138</v>
      </c>
      <c r="K41" s="7" t="n"/>
      <c r="M41" s="6" t="n">
        <v>173</v>
      </c>
      <c r="N41" s="7" t="n"/>
      <c r="AR41" t="n">
        <v>73</v>
      </c>
      <c r="AS41" t="n">
        <v>43</v>
      </c>
      <c r="AU41" t="n">
        <v>39</v>
      </c>
      <c r="AV41" t="n">
        <v>17</v>
      </c>
      <c r="AW41" t="n">
        <v>9</v>
      </c>
      <c r="AY41" t="n">
        <v>39</v>
      </c>
      <c r="AZ41" t="n">
        <v>-5</v>
      </c>
      <c r="BB41" t="n">
        <v>39</v>
      </c>
      <c r="BC41" t="n">
        <v>-7</v>
      </c>
    </row>
    <row r="42">
      <c r="A42" s="6" t="n">
        <v>34</v>
      </c>
      <c r="B42" s="7" t="n"/>
      <c r="D42" s="6" t="n">
        <v>69</v>
      </c>
      <c r="E42" s="7" t="n"/>
      <c r="G42" s="6" t="n">
        <v>104</v>
      </c>
      <c r="H42" s="7" t="n"/>
      <c r="J42" s="6" t="n">
        <v>139</v>
      </c>
      <c r="K42" s="7" t="n"/>
      <c r="M42" s="6" t="n">
        <v>174</v>
      </c>
      <c r="N42" s="7" t="n"/>
      <c r="AR42" t="n">
        <v>74</v>
      </c>
      <c r="AS42" t="n">
        <v>44</v>
      </c>
      <c r="AU42" t="n">
        <v>40</v>
      </c>
      <c r="AV42" t="n">
        <v>17</v>
      </c>
      <c r="AW42" t="n">
        <v>9</v>
      </c>
      <c r="AY42" t="n">
        <v>40</v>
      </c>
      <c r="AZ42" t="n">
        <v>-6</v>
      </c>
      <c r="BB42" t="n">
        <v>40</v>
      </c>
      <c r="BC42" t="n">
        <v>-8</v>
      </c>
    </row>
    <row r="43">
      <c r="A43" s="6" t="n">
        <v>35</v>
      </c>
      <c r="B43" s="7" t="n"/>
      <c r="D43" s="6" t="n">
        <v>70</v>
      </c>
      <c r="E43" s="7" t="n"/>
      <c r="G43" s="6" t="n">
        <v>105</v>
      </c>
      <c r="H43" s="7" t="n"/>
      <c r="J43" s="6" t="n">
        <v>140</v>
      </c>
      <c r="K43" s="7" t="n"/>
      <c r="M43" s="6" t="n">
        <v>175</v>
      </c>
      <c r="N43" s="7" t="n"/>
      <c r="AR43" t="n">
        <v>75</v>
      </c>
      <c r="AS43" t="n">
        <v>45</v>
      </c>
      <c r="AU43" t="n">
        <v>41</v>
      </c>
      <c r="AV43" t="n">
        <v>16</v>
      </c>
      <c r="AW43" t="n">
        <v>9</v>
      </c>
      <c r="AY43" t="n">
        <v>41</v>
      </c>
      <c r="AZ43" t="n">
        <v>-6</v>
      </c>
      <c r="BB43" t="n">
        <v>41</v>
      </c>
      <c r="BC43" t="n">
        <v>-8</v>
      </c>
    </row>
    <row r="44">
      <c r="AR44" t="n">
        <v>76</v>
      </c>
      <c r="AS44" t="n">
        <v>45</v>
      </c>
      <c r="AU44" t="n">
        <v>42</v>
      </c>
      <c r="AV44" t="n">
        <v>15</v>
      </c>
      <c r="AW44" t="n">
        <v>8</v>
      </c>
      <c r="AY44" t="n">
        <v>42</v>
      </c>
      <c r="AZ44" t="n">
        <v>-6</v>
      </c>
      <c r="BB44" t="n">
        <v>42</v>
      </c>
      <c r="BC44" t="n">
        <v>-8</v>
      </c>
    </row>
    <row r="45">
      <c r="A45" s="4" t="inlineStr">
        <is>
          <t>SCORING RESULTS</t>
        </is>
      </c>
      <c r="AR45" t="n">
        <v>77</v>
      </c>
      <c r="AS45" t="n">
        <v>46</v>
      </c>
      <c r="AU45" t="n">
        <v>43</v>
      </c>
      <c r="AV45" t="n">
        <v>14</v>
      </c>
      <c r="AW45" t="n">
        <v>8</v>
      </c>
      <c r="AY45" t="n">
        <v>43</v>
      </c>
      <c r="AZ45" t="n">
        <v>-6</v>
      </c>
      <c r="BB45" t="n">
        <v>43</v>
      </c>
      <c r="BC45" t="n">
        <v>-8</v>
      </c>
    </row>
    <row r="46" ht="30" customHeight="1">
      <c r="A46" s="8" t="inlineStr">
        <is>
          <t>Scale</t>
        </is>
      </c>
      <c r="B46" s="8" t="inlineStr">
        <is>
          <t>Name</t>
        </is>
      </c>
      <c r="C46" s="8" t="inlineStr">
        <is>
          <t>Cat</t>
        </is>
      </c>
      <c r="D46" s="8" t="inlineStr">
        <is>
          <t>Raw
Score</t>
        </is>
      </c>
      <c r="E46" s="8" t="inlineStr">
        <is>
          <t>BR Score
(auto)</t>
        </is>
      </c>
      <c r="F46" s="8" t="inlineStr">
        <is>
          <t>Disc
Adj</t>
        </is>
      </c>
      <c r="G46" s="8" t="inlineStr">
        <is>
          <t>A/D
Adj</t>
        </is>
      </c>
      <c r="H46" s="8" t="inlineStr">
        <is>
          <t>Inp
Adj</t>
        </is>
      </c>
      <c r="I46" s="8" t="inlineStr">
        <is>
          <t>Den/
Comp</t>
        </is>
      </c>
      <c r="J46" s="8" t="inlineStr">
        <is>
          <t>FINAL
BR</t>
        </is>
      </c>
      <c r="K46" s="8" t="inlineStr">
        <is>
          <t>Signif.</t>
        </is>
      </c>
      <c r="AR46" t="n">
        <v>78</v>
      </c>
      <c r="AS46" t="n">
        <v>47</v>
      </c>
      <c r="AU46" t="n">
        <v>44</v>
      </c>
      <c r="AV46" t="n">
        <v>13</v>
      </c>
      <c r="AW46" t="n">
        <v>7</v>
      </c>
      <c r="AY46" t="n">
        <v>44</v>
      </c>
      <c r="AZ46" t="n">
        <v>-6</v>
      </c>
      <c r="BB46" t="n">
        <v>44</v>
      </c>
      <c r="BC46" t="n">
        <v>-8</v>
      </c>
    </row>
    <row r="47">
      <c r="A47" s="9" t="inlineStr">
        <is>
          <t>X</t>
        </is>
      </c>
      <c r="B47" s="10" t="inlineStr">
        <is>
          <t>Disclosure</t>
        </is>
      </c>
      <c r="C47" s="10" t="inlineStr">
        <is>
          <t>Modifying</t>
        </is>
      </c>
      <c r="D47" s="11">
        <f>$B$9+$B$10+$B$11+$B$12+$B$13+$B$14+$B$15+$B$16+$B$17+$B$18+$B$19+$B$20+$B$21+$B$22+$B$23+$B$24+$B$25+$B$26+$B$27+$B$28+$B$29+$B$30+$B$31+$B$32+$B$33+$B$34+$B$35+$B$36+$B$37+$B$38+$B$39+$B$40+$B$41+$B$42+$B$43+$E$9+$E$10+$E$11+$E$12+$E$13+$E$14+$E$15+$E$16+$E$17+$E$18+$E$19+$E$20+$E$21+$E$22+$E$23+$E$24+$E$25+$E$26+$E$27+$E$28+$E$29+$E$30+$E$31+$E$32+$E$33+$E$34+$E$35+$E$36+$E$37+$E$38+$E$39+$E$40+$E$41+$E$42+$E$43+$H$9+$H$10+$H$11+$H$12+$H$13+$H$14+$H$15+$H$16+$H$17+$H$18+$H$19+$H$20+$H$21+$H$22+$H$23+$H$24+$H$25+$H$26+$H$27+$H$28+$H$29+$H$30+$H$31+$H$32+$H$33+$H$34+$H$35+$H$36+$H$37+$H$38+$H$39+$H$40+$H$41+$H$42+$H$43+$K$9+$K$10+$K$11+$K$12+$K$13+$K$14+$K$15+$K$16+$K$17+$K$18+$K$19+$K$20+$K$21+$K$22+$K$23+$K$24+$K$25+$K$26+$K$27+$K$28+$K$29+$K$30+$K$31+$K$32+$K$33+$K$34+$K$35+$K$36+$K$37+$K$38+$K$39+$K$40+$K$41+$K$42+$K$43+$N$9+$N$10+$N$11+$N$12+$N$13+$N$14+$N$15+$N$16+$N$17+$N$18+$N$19+$N$20+$N$21+$N$22+$N$23+$N$24+$N$25+$N$26+$N$27+$N$28+$N$29+$N$30+$N$31+$N$32+$N$33+$N$34+$N$35+$N$36+$N$37+$N$38+$N$39+$N$40+$N$41+$N$42+$N$43</f>
        <v/>
      </c>
      <c r="E47" s="12">
        <f>IF(D47&lt;34,0,IF(D47&gt;178,100,VLOOKUP(D47,$AR:$AS,2,TRUE)))</f>
        <v/>
      </c>
      <c r="F47" s="13" t="n">
        <v>0</v>
      </c>
      <c r="G47" s="13" t="n">
        <v>0</v>
      </c>
      <c r="H47" s="13" t="n">
        <v>0</v>
      </c>
      <c r="I47" s="13" t="n">
        <v>0</v>
      </c>
      <c r="J47" s="14">
        <f>MIN(MAX(E47+F47+G47+H47+I47,0),115)</f>
        <v/>
      </c>
      <c r="K47" s="6">
        <f>IF(J47&gt;=85,"PATHOLOGICAL",IF(J47&gt;=75,"PRESENT",IF(J47&gt;=60,"Suggestive","Normal")))</f>
        <v/>
      </c>
      <c r="AR47" t="n">
        <v>79</v>
      </c>
      <c r="AS47" t="n">
        <v>47</v>
      </c>
      <c r="AU47" t="n">
        <v>45</v>
      </c>
      <c r="AV47" t="n">
        <v>13</v>
      </c>
      <c r="AW47" t="n">
        <v>7</v>
      </c>
      <c r="AY47" t="n">
        <v>45</v>
      </c>
      <c r="AZ47" t="n">
        <v>-6</v>
      </c>
      <c r="BB47" t="n">
        <v>45</v>
      </c>
      <c r="BC47" t="n">
        <v>-9</v>
      </c>
    </row>
    <row r="48">
      <c r="A48" s="9" t="inlineStr">
        <is>
          <t>Y</t>
        </is>
      </c>
      <c r="B48" s="10" t="inlineStr">
        <is>
          <t>Desirability</t>
        </is>
      </c>
      <c r="C48" s="10" t="inlineStr">
        <is>
          <t>Modifying</t>
        </is>
      </c>
      <c r="D48" s="11">
        <f>$B$40+$E$24+$E$30+$E$32+$H$18+$H$20+$H$26+$H$35+$K$40+$N$40+(1-$B$28)+(1-$B$43)+(1-$E$13)+(1-$E$42)+(1-$H$42)+(1-$K$15)+(1-$K$26)+(1-$N$9)+(1-$N$10)+(1-$N$16)+(1-$N$19)</f>
        <v/>
      </c>
      <c r="E48" s="12">
        <f>VLOOKUP(MIN(D48,35),$P:$AO,COLUMN($AO$1)-COLUMN($P$1)+1,TRUE)</f>
        <v/>
      </c>
      <c r="F48" s="13" t="n">
        <v>0</v>
      </c>
      <c r="G48" s="13" t="n">
        <v>0</v>
      </c>
      <c r="H48" s="13" t="n">
        <v>0</v>
      </c>
      <c r="I48" s="13" t="n">
        <v>0</v>
      </c>
      <c r="J48" s="14">
        <f>MIN(MAX(E48+F48+G48+H48+I48,0),115)</f>
        <v/>
      </c>
      <c r="K48" s="6">
        <f>IF(J48&gt;=85,"PATHOLOGICAL",IF(J48&gt;=75,"PRESENT",IF(J48&gt;=60,"Suggestive","Normal")))</f>
        <v/>
      </c>
      <c r="AR48" t="n">
        <v>80</v>
      </c>
      <c r="AS48" t="n">
        <v>48</v>
      </c>
      <c r="AU48" t="n">
        <v>46</v>
      </c>
      <c r="AV48" t="n">
        <v>12</v>
      </c>
      <c r="AW48" t="n">
        <v>7</v>
      </c>
      <c r="AY48" t="n">
        <v>46</v>
      </c>
      <c r="AZ48" t="n">
        <v>-6</v>
      </c>
      <c r="BB48" t="n">
        <v>46</v>
      </c>
      <c r="BC48" t="n">
        <v>-9</v>
      </c>
    </row>
    <row r="49">
      <c r="A49" s="9" t="inlineStr">
        <is>
          <t>Z</t>
        </is>
      </c>
      <c r="B49" s="10" t="inlineStr">
        <is>
          <t>Debasement</t>
        </is>
      </c>
      <c r="C49" s="10" t="inlineStr">
        <is>
          <t>Modifying</t>
        </is>
      </c>
      <c r="D49" s="11">
        <f>$B$9+$B$12+$B$16+$B$23+$B$30+$B$32+$B$38+$B$42+$E$9+$E$10+$E$17+$E$28+$E$29+$E$31+$E$35+$E$36+$E$43+$H$12+$H$13+$H$14+$H$21+$H$22+$H$24+$H$37+$K$14+$K$26+$K$31+$K$36+$K$37+$N$10+$N$13+$N$18+$N$39</f>
        <v/>
      </c>
      <c r="E49" s="12">
        <f>VLOOKUP(MIN(D49,35),$P:$AP,COLUMN($AP$1)-COLUMN($P$1)+1,TRUE)</f>
        <v/>
      </c>
      <c r="F49" s="13" t="n">
        <v>0</v>
      </c>
      <c r="G49" s="13" t="n">
        <v>0</v>
      </c>
      <c r="H49" s="13" t="n">
        <v>0</v>
      </c>
      <c r="I49" s="13" t="n">
        <v>0</v>
      </c>
      <c r="J49" s="14">
        <f>MIN(MAX(E49+F49+G49+H49+I49,0),115)</f>
        <v/>
      </c>
      <c r="K49" s="6">
        <f>IF(J49&gt;=85,"PATHOLOGICAL",IF(J49&gt;=75,"PRESENT",IF(J49&gt;=60,"Suggestive","Normal")))</f>
        <v/>
      </c>
      <c r="AR49" t="n">
        <v>81</v>
      </c>
      <c r="AS49" t="n">
        <v>49</v>
      </c>
      <c r="AU49" t="n">
        <v>47</v>
      </c>
      <c r="AV49" t="n">
        <v>11</v>
      </c>
      <c r="AW49" t="n">
        <v>6</v>
      </c>
      <c r="AY49" t="n">
        <v>47</v>
      </c>
      <c r="AZ49" t="n">
        <v>-6</v>
      </c>
      <c r="BB49" t="n">
        <v>47</v>
      </c>
      <c r="BC49" t="n">
        <v>-9</v>
      </c>
    </row>
    <row r="50">
      <c r="A50" s="9" t="inlineStr">
        <is>
          <t>1</t>
        </is>
      </c>
      <c r="B50" s="10" t="inlineStr">
        <is>
          <t>Schizoid</t>
        </is>
      </c>
      <c r="C50" s="10" t="inlineStr">
        <is>
          <t>Personality</t>
        </is>
      </c>
      <c r="D50" s="11">
        <f>2*$B$18+2*$B$35+2*$E$19+2*$H$30+2*$H$43+2*$N$16+2*$N$33+$B$12+$E$11+$E$21+$H$39+$N$10+$N$24+$N$35+(1-$B$40)+(1-$E$30)</f>
        <v/>
      </c>
      <c r="E50" s="12">
        <f>VLOOKUP(MIN(D50,35),$P:$Q,COLUMN($Q$1)-COLUMN($P$1)+1,TRUE)</f>
        <v/>
      </c>
      <c r="F50" s="6">
        <f>IF(D47="",0,VLOOKUP(MIN(MAX(D47,0),199),$AU:$AV,2,TRUE))</f>
        <v/>
      </c>
      <c r="G50" s="13" t="n">
        <v>0</v>
      </c>
      <c r="H50" s="13" t="n">
        <v>0</v>
      </c>
      <c r="I50" s="7" t="n">
        <v>0</v>
      </c>
      <c r="J50" s="14">
        <f>MIN(MAX(E50+F50+G50+H50+I50,0),115)</f>
        <v/>
      </c>
      <c r="K50" s="6">
        <f>IF(J50&gt;=85,"PATHOLOGICAL",IF(J50&gt;=75,"PRESENT",IF(J50&gt;=60,"Suggestive","Normal")))</f>
        <v/>
      </c>
      <c r="AR50" t="n">
        <v>82</v>
      </c>
      <c r="AS50" t="n">
        <v>49</v>
      </c>
      <c r="AU50" t="n">
        <v>48</v>
      </c>
      <c r="AV50" t="n">
        <v>10</v>
      </c>
      <c r="AW50" t="n">
        <v>6</v>
      </c>
      <c r="AY50" t="n">
        <v>48</v>
      </c>
      <c r="AZ50" t="n">
        <v>-7</v>
      </c>
      <c r="BB50" t="n">
        <v>48</v>
      </c>
      <c r="BC50" t="n">
        <v>-9</v>
      </c>
    </row>
    <row r="51">
      <c r="A51" s="9" t="inlineStr">
        <is>
          <t>2A</t>
        </is>
      </c>
      <c r="B51" s="10" t="inlineStr">
        <is>
          <t>Avoidant</t>
        </is>
      </c>
      <c r="C51" s="10" t="inlineStr">
        <is>
          <t>Personality</t>
        </is>
      </c>
      <c r="D51" s="11">
        <f>2*$B$26+2*$E$13+2*$E$42+2*$H$22+2*$H$37+2*$K$30+2*$N$9+2*$N$42+$E$20+$E$21+$N$14+$N$16+$N$19+$N$26+(1-$E$30)+(1-$H$18)</f>
        <v/>
      </c>
      <c r="E51" s="12">
        <f>VLOOKUP(MIN(D51,35),$P:$R,COLUMN($R$1)-COLUMN($P$1)+1,TRUE)</f>
        <v/>
      </c>
      <c r="F51" s="6">
        <f>IF(D47="",0,VLOOKUP(MIN(MAX(D47,0),199),$AU:$AV,2,TRUE))</f>
        <v/>
      </c>
      <c r="G51" s="6">
        <f>IF(AND((E64+F64)&lt;75,(E67+F67)&lt;75),0,VLOOKUP(MIN(MAX(IF((E64+F64)&gt;=75,(E64+F64)-75,0)+IF((E67+F67)&gt;=75,(E67+F67)-75,0),0),80),$AY:$AZ,2,TRUE))</f>
        <v/>
      </c>
      <c r="H51" s="13" t="n">
        <v>0</v>
      </c>
      <c r="I51" s="7" t="n">
        <v>0</v>
      </c>
      <c r="J51" s="14">
        <f>MIN(MAX(E51+F51+G51+H51+I51,0),115)</f>
        <v/>
      </c>
      <c r="K51" s="6">
        <f>IF(J51&gt;=85,"PATHOLOGICAL",IF(J51&gt;=75,"PRESENT",IF(J51&gt;=60,"Suggestive","Normal")))</f>
        <v/>
      </c>
      <c r="AR51" t="n">
        <v>83</v>
      </c>
      <c r="AS51" t="n">
        <v>50</v>
      </c>
      <c r="AU51" t="n">
        <v>49</v>
      </c>
      <c r="AV51" t="n">
        <v>9</v>
      </c>
      <c r="AW51" t="n">
        <v>5</v>
      </c>
      <c r="AY51" t="n">
        <v>49</v>
      </c>
      <c r="AZ51" t="n">
        <v>-7</v>
      </c>
      <c r="BB51" t="n">
        <v>49</v>
      </c>
      <c r="BC51" t="n">
        <v>-9</v>
      </c>
    </row>
    <row r="52">
      <c r="A52" s="9" t="inlineStr">
        <is>
          <t>2B</t>
        </is>
      </c>
      <c r="B52" s="10" t="inlineStr">
        <is>
          <t>Depressive</t>
        </is>
      </c>
      <c r="C52" s="10" t="inlineStr">
        <is>
          <t>Personality</t>
        </is>
      </c>
      <c r="D52" s="11">
        <f>2*$B$28+2*$B$33+2*$E$20+2*$K$15+2*$K$26+2*$K$36+2*$N$13+2*$N$19+$B$32+$E$16+$H$21+$H$24+$N$10+$N$16+$N$22</f>
        <v/>
      </c>
      <c r="E52" s="12">
        <f>VLOOKUP(MIN(D52,35),$P:$S,COLUMN($S$1)-COLUMN($P$1)+1,TRUE)</f>
        <v/>
      </c>
      <c r="F52" s="6">
        <f>IF(D47="",0,VLOOKUP(MIN(MAX(D47,0),199),$AU:$AV,2,TRUE))</f>
        <v/>
      </c>
      <c r="G52" s="6">
        <f>IF(AND((E64+F64)&lt;75,(E67+F67)&lt;75),0,VLOOKUP(MIN(MAX(IF((E64+F64)&gt;=75,(E64+F64)-75,0)+IF((E67+F67)&gt;=75,(E67+F67)-75,0),0),80),$BB:$BC,2,TRUE))</f>
        <v/>
      </c>
      <c r="H52" s="13" t="n">
        <v>0</v>
      </c>
      <c r="I52" s="7" t="n">
        <v>0</v>
      </c>
      <c r="J52" s="14">
        <f>MIN(MAX(E52+F52+G52+H52+I52,0),115)</f>
        <v/>
      </c>
      <c r="K52" s="6">
        <f>IF(J52&gt;=85,"PATHOLOGICAL",IF(J52&gt;=75,"PRESENT",IF(J52&gt;=60,"Suggestive","Normal")))</f>
        <v/>
      </c>
      <c r="AR52" t="n">
        <v>84</v>
      </c>
      <c r="AS52" t="n">
        <v>51</v>
      </c>
      <c r="AU52" t="n">
        <v>50</v>
      </c>
      <c r="AV52" t="n">
        <v>9</v>
      </c>
      <c r="AW52" t="n">
        <v>5</v>
      </c>
      <c r="AY52" t="n">
        <v>50</v>
      </c>
      <c r="AZ52" t="n">
        <v>-7</v>
      </c>
      <c r="BB52" t="n">
        <v>50</v>
      </c>
      <c r="BC52" t="n">
        <v>-10</v>
      </c>
    </row>
    <row r="53">
      <c r="A53" s="9" t="inlineStr">
        <is>
          <t>3</t>
        </is>
      </c>
      <c r="B53" s="10" t="inlineStr">
        <is>
          <t>Dependent</t>
        </is>
      </c>
      <c r="C53" s="10" t="inlineStr">
        <is>
          <t>Personality</t>
        </is>
      </c>
      <c r="D53" s="11">
        <f>2*$B$24+2*$B$43+2*$E$18+2*$H$11+2*$H$32+2*$K$11+2*$K$38+2*$N$37+$E$20+$E$29+$H$22+$K$23+$K$36+$N$9+$N$19+(1-$H$20)</f>
        <v/>
      </c>
      <c r="E53" s="12">
        <f>VLOOKUP(MIN(D53,35),$P:$T,COLUMN($T$1)-COLUMN($P$1)+1,TRUE)</f>
        <v/>
      </c>
      <c r="F53" s="6">
        <f>IF(D47="",0,VLOOKUP(MIN(MAX(D47,0),199),$AU:$AV,2,TRUE))</f>
        <v/>
      </c>
      <c r="G53" s="13" t="n">
        <v>0</v>
      </c>
      <c r="H53" s="13" t="n">
        <v>0</v>
      </c>
      <c r="I53" s="7" t="n">
        <v>0</v>
      </c>
      <c r="J53" s="14">
        <f>MIN(MAX(E53+F53+G53+H53+I53,0),115)</f>
        <v/>
      </c>
      <c r="K53" s="6">
        <f>IF(J53&gt;=85,"PATHOLOGICAL",IF(J53&gt;=75,"PRESENT",IF(J53&gt;=60,"Suggestive","Normal")))</f>
        <v/>
      </c>
      <c r="AR53" t="n">
        <v>85</v>
      </c>
      <c r="AS53" t="n">
        <v>51</v>
      </c>
      <c r="AU53" t="n">
        <v>51</v>
      </c>
      <c r="AV53" t="n">
        <v>8</v>
      </c>
      <c r="AW53" t="n">
        <v>5</v>
      </c>
      <c r="AY53" t="n">
        <v>51</v>
      </c>
      <c r="AZ53" t="n">
        <v>-7</v>
      </c>
      <c r="BB53" t="n">
        <v>51</v>
      </c>
      <c r="BC53" t="n">
        <v>-10</v>
      </c>
    </row>
    <row r="54">
      <c r="A54" s="9" t="inlineStr">
        <is>
          <t>4</t>
        </is>
      </c>
      <c r="B54" s="10" t="inlineStr">
        <is>
          <t>Histrionic</t>
        </is>
      </c>
      <c r="C54" s="10" t="inlineStr">
        <is>
          <t>Personality</t>
        </is>
      </c>
      <c r="D54" s="11">
        <f>2*$B$20+2*$B$29+2*$B$40+2*$E$24+2*$E$30+2*$H$18+2*$H$26+$B$18+$B$32+$B$35+$E$21+$E$42+$H$30+$H$37+$K$26+$K$30+$N$42</f>
        <v/>
      </c>
      <c r="E54" s="12">
        <f>VLOOKUP(MIN(D54,35),$P:$U,COLUMN($U$1)-COLUMN($P$1)+1,TRUE)</f>
        <v/>
      </c>
      <c r="F54" s="6">
        <f>IF(D47="",0,VLOOKUP(MIN(MAX(D47,0),199),$AU:$AV,2,TRUE))</f>
        <v/>
      </c>
      <c r="G54" s="13" t="n">
        <v>0</v>
      </c>
      <c r="H54" s="13" t="n">
        <v>0</v>
      </c>
      <c r="I54" s="7" t="n">
        <v>0</v>
      </c>
      <c r="J54" s="14">
        <f>MIN(MAX(E54+F54+G54+H54+I54,0),115)</f>
        <v/>
      </c>
      <c r="K54" s="6">
        <f>IF(J54&gt;=85,"PATHOLOGICAL",IF(J54&gt;=75,"PRESENT",IF(J54&gt;=60,"Suggestive","Normal")))</f>
        <v/>
      </c>
      <c r="AR54" t="n">
        <v>86</v>
      </c>
      <c r="AS54" t="n">
        <v>52</v>
      </c>
      <c r="AU54" t="n">
        <v>52</v>
      </c>
      <c r="AV54" t="n">
        <v>7</v>
      </c>
      <c r="AW54" t="n">
        <v>4</v>
      </c>
      <c r="AY54" t="n">
        <v>52</v>
      </c>
      <c r="AZ54" t="n">
        <v>-7</v>
      </c>
      <c r="BB54" t="n">
        <v>52</v>
      </c>
      <c r="BC54" t="n">
        <v>-10</v>
      </c>
    </row>
    <row r="55">
      <c r="A55" s="9" t="inlineStr">
        <is>
          <t>5</t>
        </is>
      </c>
      <c r="B55" s="10" t="inlineStr">
        <is>
          <t>Narcissistic</t>
        </is>
      </c>
      <c r="C55" s="10" t="inlineStr">
        <is>
          <t>Personality</t>
        </is>
      </c>
      <c r="D55" s="11">
        <f>2*$B$13+2*$B$34+2*$B$39+2*$E$40+2*$H$23+2*$H$31+2*$N$12+2*$N$27+$B$29+$E$11+$E$30+$H$18+$H$26+$K$19+(1-$B$43)+(1-$E$13)+(1-$E$20)+(1-$E$42)+(1-$H$22)+(1-$H$24)+(1-$H$32)+(1-$H$37)+(1-$N$9)+(1-$N$37)</f>
        <v/>
      </c>
      <c r="E55" s="12">
        <f>VLOOKUP(MIN(D55,35),$P:$V,COLUMN($V$1)-COLUMN($P$1)+1,TRUE)</f>
        <v/>
      </c>
      <c r="F55" s="6">
        <f>IF(D47="",0,VLOOKUP(MIN(MAX(D47,0),199),$AU:$AV,2,TRUE))</f>
        <v/>
      </c>
      <c r="G55" s="13" t="n">
        <v>0</v>
      </c>
      <c r="H55" s="13" t="n">
        <v>0</v>
      </c>
      <c r="I55" s="7" t="n">
        <v>0</v>
      </c>
      <c r="J55" s="14">
        <f>MIN(MAX(E55+F55+G55+H55+I55,0),115)</f>
        <v/>
      </c>
      <c r="K55" s="6">
        <f>IF(J55&gt;=85,"PATHOLOGICAL",IF(J55&gt;=75,"PRESENT",IF(J55&gt;=60,"Suggestive","Normal")))</f>
        <v/>
      </c>
      <c r="AR55" t="n">
        <v>87</v>
      </c>
      <c r="AS55" t="n">
        <v>53</v>
      </c>
      <c r="AU55" t="n">
        <v>53</v>
      </c>
      <c r="AV55" t="n">
        <v>6</v>
      </c>
      <c r="AW55" t="n">
        <v>4</v>
      </c>
      <c r="AY55" t="n">
        <v>53</v>
      </c>
      <c r="AZ55" t="n">
        <v>-7</v>
      </c>
      <c r="BB55" t="n">
        <v>53</v>
      </c>
      <c r="BC55" t="n">
        <v>-10</v>
      </c>
    </row>
    <row r="56">
      <c r="A56" s="9" t="inlineStr">
        <is>
          <t>6A</t>
        </is>
      </c>
      <c r="B56" s="10" t="inlineStr">
        <is>
          <t>Antisocial</t>
        </is>
      </c>
      <c r="C56" s="10" t="inlineStr">
        <is>
          <t>Personality</t>
        </is>
      </c>
      <c r="D56" s="11">
        <f>2*$B$25+2*$E$11+2*$E$26+2*$H$39+2*$K$16+2*$K$42+2*$N$34+$B$15+$B$21+$B$22+$B$29+$E$14+$E$25+$H$31+$K$25+$K$39+(1-$N$40)</f>
        <v/>
      </c>
      <c r="E56" s="12">
        <f>VLOOKUP(MIN(D56,35),$P:$W,COLUMN($W$1)-COLUMN($P$1)+1,TRUE)</f>
        <v/>
      </c>
      <c r="F56" s="6">
        <f>IF(D47="",0,VLOOKUP(MIN(MAX(D47,0),199),$AU:$AV,2,TRUE))</f>
        <v/>
      </c>
      <c r="G56" s="13" t="n">
        <v>0</v>
      </c>
      <c r="H56" s="13" t="n">
        <v>0</v>
      </c>
      <c r="I56" s="7" t="n">
        <v>0</v>
      </c>
      <c r="J56" s="14">
        <f>MIN(MAX(E56+F56+G56+H56+I56,0),115)</f>
        <v/>
      </c>
      <c r="K56" s="6">
        <f>IF(J56&gt;=85,"PATHOLOGICAL",IF(J56&gt;=75,"PRESENT",IF(J56&gt;=60,"Suggestive","Normal")))</f>
        <v/>
      </c>
      <c r="AR56" t="n">
        <v>88</v>
      </c>
      <c r="AS56" t="n">
        <v>53</v>
      </c>
      <c r="AU56" t="n">
        <v>54</v>
      </c>
      <c r="AV56" t="n">
        <v>5</v>
      </c>
      <c r="AW56" t="n">
        <v>3</v>
      </c>
      <c r="AY56" t="n">
        <v>54</v>
      </c>
      <c r="AZ56" t="n">
        <v>-7</v>
      </c>
      <c r="BB56" t="n">
        <v>54</v>
      </c>
      <c r="BC56" t="n">
        <v>-10</v>
      </c>
    </row>
    <row r="57">
      <c r="A57" s="9" t="inlineStr">
        <is>
          <t>6B</t>
        </is>
      </c>
      <c r="B57" s="10" t="inlineStr">
        <is>
          <t>Sadistic</t>
        </is>
      </c>
      <c r="C57" s="10" t="inlineStr">
        <is>
          <t>Personality</t>
        </is>
      </c>
      <c r="D57" s="11">
        <f>2*$B$17+2*$B$22+2*$B$36+2*$E$37+2*$H$25+2*$H$33+2*$K$19+$B$15+$B$21+$B$25+$B$41+$E$9+$E$12+$E$14+$E$22+$E$26+$H$17+$H$31+$H$34+$N$34</f>
        <v/>
      </c>
      <c r="E57" s="12">
        <f>VLOOKUP(MIN(D57,35),$P:$X,COLUMN($X$1)-COLUMN($P$1)+1,TRUE)</f>
        <v/>
      </c>
      <c r="F57" s="6">
        <f>IF(D47="",0,VLOOKUP(MIN(MAX(D47,0),199),$AU:$AV,2,TRUE))</f>
        <v/>
      </c>
      <c r="G57" s="13" t="n">
        <v>0</v>
      </c>
      <c r="H57" s="13" t="n">
        <v>0</v>
      </c>
      <c r="I57" s="7" t="n">
        <v>0</v>
      </c>
      <c r="J57" s="14">
        <f>MIN(MAX(E57+F57+G57+H57+I57,0),115)</f>
        <v/>
      </c>
      <c r="K57" s="6">
        <f>IF(J57&gt;=85,"PATHOLOGICAL",IF(J57&gt;=75,"PRESENT",IF(J57&gt;=60,"Suggestive","Normal")))</f>
        <v/>
      </c>
      <c r="AR57" t="n">
        <v>89</v>
      </c>
      <c r="AS57" t="n">
        <v>54</v>
      </c>
      <c r="AU57" t="n">
        <v>55</v>
      </c>
      <c r="AV57" t="n">
        <v>5</v>
      </c>
      <c r="AW57" t="n">
        <v>3</v>
      </c>
      <c r="AY57" t="n">
        <v>55</v>
      </c>
      <c r="AZ57" t="n">
        <v>-7</v>
      </c>
      <c r="BB57" t="n">
        <v>55</v>
      </c>
      <c r="BC57" t="n">
        <v>-11</v>
      </c>
    </row>
    <row r="58">
      <c r="A58" s="9" t="inlineStr">
        <is>
          <t>7</t>
        </is>
      </c>
      <c r="B58" s="10" t="inlineStr">
        <is>
          <t>Compulsive</t>
        </is>
      </c>
      <c r="C58" s="10" t="inlineStr">
        <is>
          <t>Personality</t>
        </is>
      </c>
      <c r="D58" s="11">
        <f>2*$B$10+2*$B$37+2*$E$32+2*$H$20+2*$H$35+2*$K$17+2*$K$40+2*$N$40+(1-$B$15)+(1-$B$22)+(1-$B$30)+(1-$E$14)+(1-$E$26)+(1-$H$10)+(1-$H$39)+(1-$K$42)+(1-$N$34)</f>
        <v/>
      </c>
      <c r="E58" s="12">
        <f>VLOOKUP(MIN(D58,35),$P:$Y,COLUMN($Y$1)-COLUMN($P$1)+1,TRUE)</f>
        <v/>
      </c>
      <c r="F58" s="6">
        <f>IF(D47="",0,VLOOKUP(MIN(MAX(D47,0),199),$AU:$AV,2,TRUE))</f>
        <v/>
      </c>
      <c r="G58" s="13" t="n">
        <v>0</v>
      </c>
      <c r="H58" s="13" t="n">
        <v>0</v>
      </c>
      <c r="I58" s="7" t="n">
        <v>0</v>
      </c>
      <c r="J58" s="14">
        <f>MIN(MAX(E58+F58+G58+H58+I58,0),115)</f>
        <v/>
      </c>
      <c r="K58" s="6">
        <f>IF(J58&gt;=85,"PATHOLOGICAL",IF(J58&gt;=75,"PRESENT",IF(J58&gt;=60,"Suggestive","Normal")))</f>
        <v/>
      </c>
      <c r="AR58" t="n">
        <v>90</v>
      </c>
      <c r="AS58" t="n">
        <v>55</v>
      </c>
      <c r="AU58" t="n">
        <v>56</v>
      </c>
      <c r="AV58" t="n">
        <v>4</v>
      </c>
      <c r="AW58" t="n">
        <v>3</v>
      </c>
      <c r="AY58" t="n">
        <v>56</v>
      </c>
      <c r="AZ58" t="n">
        <v>-8</v>
      </c>
      <c r="BB58" t="n">
        <v>56</v>
      </c>
      <c r="BC58" t="n">
        <v>-11</v>
      </c>
    </row>
    <row r="59">
      <c r="A59" s="9" t="inlineStr">
        <is>
          <t>8A</t>
        </is>
      </c>
      <c r="B59" s="10" t="inlineStr">
        <is>
          <t>Negativistic</t>
        </is>
      </c>
      <c r="C59" s="10" t="inlineStr">
        <is>
          <t>Personality</t>
        </is>
      </c>
      <c r="D59" s="11">
        <f>2*$B$15+2*$B$23+2*$B$30+2*$E$9+2*$E$23+2*$E$33+2*$H$17+2*$K$18+2*$K$29+$B$14+$E$15+$H$21+$H$36+$K$25+$K$36+$N$34</f>
        <v/>
      </c>
      <c r="E59" s="12">
        <f>VLOOKUP(MIN(D59,35),$P:$Z,COLUMN($Z$1)-COLUMN($P$1)+1,TRUE)</f>
        <v/>
      </c>
      <c r="F59" s="6">
        <f>IF(D47="",0,VLOOKUP(MIN(MAX(D47,0),199),$AU:$AV,2,TRUE))</f>
        <v/>
      </c>
      <c r="G59" s="13" t="n">
        <v>0</v>
      </c>
      <c r="H59" s="13" t="n">
        <v>0</v>
      </c>
      <c r="I59" s="7" t="n">
        <v>0</v>
      </c>
      <c r="J59" s="14">
        <f>MIN(MAX(E59+F59+G59+H59+I59,0),115)</f>
        <v/>
      </c>
      <c r="K59" s="6">
        <f>IF(J59&gt;=85,"PATHOLOGICAL",IF(J59&gt;=75,"PRESENT",IF(J59&gt;=60,"Suggestive","Normal")))</f>
        <v/>
      </c>
      <c r="AR59" t="n">
        <v>91</v>
      </c>
      <c r="AS59" t="n">
        <v>55</v>
      </c>
      <c r="AU59" t="n">
        <v>57</v>
      </c>
      <c r="AV59" t="n">
        <v>3</v>
      </c>
      <c r="AW59" t="n">
        <v>2</v>
      </c>
      <c r="AY59" t="n">
        <v>57</v>
      </c>
      <c r="AZ59" t="n">
        <v>-8</v>
      </c>
      <c r="BB59" t="n">
        <v>57</v>
      </c>
      <c r="BC59" t="n">
        <v>-11</v>
      </c>
    </row>
    <row r="60">
      <c r="A60" s="9" t="inlineStr">
        <is>
          <t>8B</t>
        </is>
      </c>
      <c r="B60" s="10" t="inlineStr">
        <is>
          <t>Masochistic</t>
        </is>
      </c>
      <c r="C60" s="10" t="inlineStr">
        <is>
          <t>Personality</t>
        </is>
      </c>
      <c r="D60" s="11">
        <f>2*$B$27+2*$E$16+2*$E$43+2*$H$28+2*$H$42+2*$K$25+2*$N$29+$B$26+$B$32+$B$33+$B$43+$E$13+$H$36+$N$16+$N$37</f>
        <v/>
      </c>
      <c r="E60" s="12">
        <f>VLOOKUP(MIN(D60,35),$P:$AA,COLUMN($AA$1)-COLUMN($P$1)+1,TRUE)</f>
        <v/>
      </c>
      <c r="F60" s="6">
        <f>IF(D47="",0,VLOOKUP(MIN(MAX(D47,0),199),$AU:$AV,2,TRUE))</f>
        <v/>
      </c>
      <c r="G60" s="6">
        <f>IF(AND((E64+F64)&lt;75,(E67+F67)&lt;75),0,VLOOKUP(MIN(MAX(IF((E64+F64)&gt;=75,(E64+F64)-75,0)+IF((E67+F67)&gt;=75,(E67+F67)-75,0),0),80),$BB:$BC,2,TRUE))</f>
        <v/>
      </c>
      <c r="H60" s="13" t="n">
        <v>0</v>
      </c>
      <c r="I60" s="7" t="n">
        <v>0</v>
      </c>
      <c r="J60" s="14">
        <f>MIN(MAX(E60+F60+G60+H60+I60,0),115)</f>
        <v/>
      </c>
      <c r="K60" s="6">
        <f>IF(J60&gt;=85,"PATHOLOGICAL",IF(J60&gt;=75,"PRESENT",IF(J60&gt;=60,"Suggestive","Normal")))</f>
        <v/>
      </c>
      <c r="AR60" t="n">
        <v>92</v>
      </c>
      <c r="AS60" t="n">
        <v>56</v>
      </c>
      <c r="AU60" t="n">
        <v>58</v>
      </c>
      <c r="AV60" t="n">
        <v>2</v>
      </c>
      <c r="AW60" t="n">
        <v>2</v>
      </c>
      <c r="AY60" t="n">
        <v>58</v>
      </c>
      <c r="AZ60" t="n">
        <v>-8</v>
      </c>
      <c r="BB60" t="n">
        <v>58</v>
      </c>
      <c r="BC60" t="n">
        <v>-11</v>
      </c>
    </row>
    <row r="61">
      <c r="A61" s="9" t="inlineStr">
        <is>
          <t>S</t>
        </is>
      </c>
      <c r="B61" s="10" t="inlineStr">
        <is>
          <t>Schizotypal</t>
        </is>
      </c>
      <c r="C61" s="10" t="inlineStr">
        <is>
          <t>Severe Pers</t>
        </is>
      </c>
      <c r="D61" s="11">
        <f>2*$B$16+2*$E$21+2*$H$9+2*$H$14+2*$K$20+2*$K$41+2*$N$24+2*$N$26+2*$N$30+$E$42+$H$37+$H$40+$K$37+$N$9+$N$16+$N$19</f>
        <v/>
      </c>
      <c r="E61" s="12">
        <f>VLOOKUP(MIN(D61,35),$P:$AB,COLUMN($AB$1)-COLUMN($P$1)+1,TRUE)</f>
        <v/>
      </c>
      <c r="F61" s="6">
        <f>IF(D47="",0,VLOOKUP(MIN(MAX(D47,0),199),$AU:$AW,3,TRUE))</f>
        <v/>
      </c>
      <c r="G61" s="6">
        <f>IF(AND((E64+F64)&lt;75,(E67+F67)&lt;75),0,VLOOKUP(MIN(MAX(IF((E64+F64)&gt;=75,(E64+F64)-75,0)+IF((E67+F67)&gt;=75,(E67+F67)-75,0),0),80),$AY:$AZ,2,TRUE))</f>
        <v/>
      </c>
      <c r="H61" s="13" t="n">
        <v>0</v>
      </c>
      <c r="I61" s="13" t="n">
        <v>0</v>
      </c>
      <c r="J61" s="14">
        <f>MIN(MAX(E61+F61+G61+H61+I61,0),115)</f>
        <v/>
      </c>
      <c r="K61" s="6">
        <f>IF(J61&gt;=85,"PATHOLOGICAL",IF(J61&gt;=75,"PRESENT",IF(J61&gt;=60,"Suggestive","Normal")))</f>
        <v/>
      </c>
      <c r="AR61" t="n">
        <v>93</v>
      </c>
      <c r="AS61" t="n">
        <v>57</v>
      </c>
      <c r="AU61" t="n">
        <v>59</v>
      </c>
      <c r="AV61" t="n">
        <v>1</v>
      </c>
      <c r="AW61" t="n">
        <v>1</v>
      </c>
      <c r="AY61" t="n">
        <v>59</v>
      </c>
      <c r="AZ61" t="n">
        <v>-8</v>
      </c>
      <c r="BB61" t="n">
        <v>59</v>
      </c>
      <c r="BC61" t="n">
        <v>-11</v>
      </c>
    </row>
    <row r="62">
      <c r="A62" s="9" t="inlineStr">
        <is>
          <t>C</t>
        </is>
      </c>
      <c r="B62" s="10" t="inlineStr">
        <is>
          <t>Borderline</t>
        </is>
      </c>
      <c r="C62" s="10" t="inlineStr">
        <is>
          <t>Severe Pers</t>
        </is>
      </c>
      <c r="D62" s="11">
        <f>2*$B$38+2*$E$14+2*$H$10+2*$H$21+2*$H$36+2*$K$23+2*$K$37+2*$N$10+2*$N$22+$B$15+$B$30+$K$25+$K$38+$N$29+$N$34+$N$39</f>
        <v/>
      </c>
      <c r="E62" s="12">
        <f>VLOOKUP(MIN(D62,35),$P:$AC,COLUMN($AC$1)-COLUMN($P$1)+1,TRUE)</f>
        <v/>
      </c>
      <c r="F62" s="6">
        <f>IF(D47="",0,VLOOKUP(MIN(MAX(D47,0),199),$AU:$AW,3,TRUE))</f>
        <v/>
      </c>
      <c r="G62" s="6">
        <f>IF(AND((E64+F64)&lt;75,(E67+F67)&lt;75),0,VLOOKUP(MIN(MAX(IF((E64+F64)&gt;=75,(E64+F64)-75,0)+IF((E67+F67)&gt;=75,(E67+F67)-75,0),0),80),$BB:$BC,2,TRUE))</f>
        <v/>
      </c>
      <c r="H62" s="13" t="n">
        <v>0</v>
      </c>
      <c r="I62" s="13" t="n">
        <v>0</v>
      </c>
      <c r="J62" s="14">
        <f>MIN(MAX(E62+F62+G62+H62+I62,0),115)</f>
        <v/>
      </c>
      <c r="K62" s="6">
        <f>IF(J62&gt;=85,"PATHOLOGICAL",IF(J62&gt;=75,"PRESENT",IF(J62&gt;=60,"Suggestive","Normal")))</f>
        <v/>
      </c>
      <c r="AR62" t="n">
        <v>94</v>
      </c>
      <c r="AS62" t="n">
        <v>57</v>
      </c>
      <c r="AU62" t="n">
        <v>60</v>
      </c>
      <c r="AV62" t="n">
        <v>1</v>
      </c>
      <c r="AW62" t="n">
        <v>1</v>
      </c>
      <c r="AY62" t="n">
        <v>60</v>
      </c>
      <c r="AZ62" t="n">
        <v>-8</v>
      </c>
      <c r="BB62" t="n">
        <v>60</v>
      </c>
      <c r="BC62" t="n">
        <v>-12</v>
      </c>
    </row>
    <row r="63">
      <c r="A63" s="9" t="inlineStr">
        <is>
          <t>P</t>
        </is>
      </c>
      <c r="B63" s="10" t="inlineStr">
        <is>
          <t>Paranoid</t>
        </is>
      </c>
      <c r="C63" s="10" t="inlineStr">
        <is>
          <t>Severe Pers</t>
        </is>
      </c>
      <c r="D63" s="11">
        <f>2*$B$14+2*$B$41+2*$E$15+2*$E$22+2*$H$27+2*$H$41+2*$N$14+2*$N$35+2*$N$43+$B$16+$E$21+$E$33+$E$36+$K$18+$K$41+$N$26+$N$27</f>
        <v/>
      </c>
      <c r="E63" s="12">
        <f>VLOOKUP(MIN(D63,35),$P:$AD,COLUMN($AD$1)-COLUMN($P$1)+1,TRUE)</f>
        <v/>
      </c>
      <c r="F63" s="6">
        <f>IF(D47="",0,VLOOKUP(MIN(MAX(D47,0),199),$AU:$AW,3,TRUE))</f>
        <v/>
      </c>
      <c r="G63" s="13" t="n">
        <v>0</v>
      </c>
      <c r="H63" s="13" t="n">
        <v>0</v>
      </c>
      <c r="I63" s="13" t="n">
        <v>0</v>
      </c>
      <c r="J63" s="14">
        <f>MIN(MAX(E63+F63+G63+H63+I63,0),115)</f>
        <v/>
      </c>
      <c r="K63" s="6">
        <f>IF(J63&gt;=85,"PATHOLOGICAL",IF(J63&gt;=75,"PRESENT",IF(J63&gt;=60,"Suggestive","Normal")))</f>
        <v/>
      </c>
      <c r="AR63" t="n">
        <v>95</v>
      </c>
      <c r="AS63" t="n">
        <v>58</v>
      </c>
      <c r="AU63" t="n">
        <v>61</v>
      </c>
      <c r="AV63" t="n">
        <v>0</v>
      </c>
      <c r="AW63" t="n">
        <v>0</v>
      </c>
      <c r="AY63" t="n">
        <v>61</v>
      </c>
      <c r="AZ63" t="n">
        <v>-8</v>
      </c>
      <c r="BB63" t="n">
        <v>61</v>
      </c>
      <c r="BC63" t="n">
        <v>-12</v>
      </c>
    </row>
    <row r="64">
      <c r="A64" s="9" t="inlineStr">
        <is>
          <t>A</t>
        </is>
      </c>
      <c r="B64" s="10" t="inlineStr">
        <is>
          <t>Anxiety</t>
        </is>
      </c>
      <c r="C64" s="10" t="inlineStr">
        <is>
          <t>Clinical Syn</t>
        </is>
      </c>
      <c r="D64" s="11">
        <f>2*$E$31+2*$H$13+2*$K$27+2*$N$15+2*$N$32+2*$N$38+$E$13+$E$34+$H$14+$K$11+$K$12+$K$38+$N$13+$N$17</f>
        <v/>
      </c>
      <c r="E64" s="12">
        <f>VLOOKUP(MIN(D64,35),$P:$AE,COLUMN($AE$1)-COLUMN($P$1)+1,TRUE)</f>
        <v/>
      </c>
      <c r="F64" s="6">
        <f>IF(D47="",0,VLOOKUP(MIN(MAX(D47,0),199),$AU:$AW,3,TRUE))</f>
        <v/>
      </c>
      <c r="G64" s="13" t="n">
        <v>0</v>
      </c>
      <c r="H64" s="13" t="n">
        <v>0</v>
      </c>
      <c r="I64" s="13" t="n">
        <v>0</v>
      </c>
      <c r="J64" s="14">
        <f>MIN(MAX(E64+F64+G64+H64+I64,0),115)</f>
        <v/>
      </c>
      <c r="K64" s="6">
        <f>IF(J64&gt;=85,"PATHOLOGICAL",IF(J64&gt;=75,"PRESENT",IF(J64&gt;=60,"Suggestive","Normal")))</f>
        <v/>
      </c>
      <c r="AR64" t="n">
        <v>96</v>
      </c>
      <c r="AS64" t="n">
        <v>59</v>
      </c>
      <c r="AU64" t="n">
        <v>62</v>
      </c>
      <c r="AV64" t="n">
        <v>0</v>
      </c>
      <c r="AW64" t="n">
        <v>0</v>
      </c>
      <c r="AY64" t="n">
        <v>62</v>
      </c>
      <c r="AZ64" t="n">
        <v>-8</v>
      </c>
      <c r="BB64" t="n">
        <v>62</v>
      </c>
      <c r="BC64" t="n">
        <v>-12</v>
      </c>
    </row>
    <row r="65">
      <c r="A65" s="9" t="inlineStr">
        <is>
          <t>H</t>
        </is>
      </c>
      <c r="B65" s="10" t="inlineStr">
        <is>
          <t>Somatoform</t>
        </is>
      </c>
      <c r="C65" s="10" t="inlineStr">
        <is>
          <t>Clinical Syn</t>
        </is>
      </c>
      <c r="D65" s="11">
        <f>2*$B$12+2*$B$19+2*$E$10+2*$E$28+2*$H$12+$B$9+$H$13+$K$10+$K$14+$K$33+$N$13+$N$16</f>
        <v/>
      </c>
      <c r="E65" s="12">
        <f>VLOOKUP(MIN(D65,35),$P:$AF,COLUMN($AF$1)-COLUMN($P$1)+1,TRUE)</f>
        <v/>
      </c>
      <c r="F65" s="6">
        <f>IF(D47="",0,VLOOKUP(MIN(MAX(D47,0),199),$AU:$AW,3,TRUE))</f>
        <v/>
      </c>
      <c r="G65" s="13" t="n">
        <v>0</v>
      </c>
      <c r="H65" s="13" t="n">
        <v>0</v>
      </c>
      <c r="I65" s="13" t="n">
        <v>0</v>
      </c>
      <c r="J65" s="14">
        <f>MIN(MAX(E65+F65+G65+H65+I65,0),115)</f>
        <v/>
      </c>
      <c r="K65" s="6">
        <f>IF(J65&gt;=85,"PATHOLOGICAL",IF(J65&gt;=75,"PRESENT",IF(J65&gt;=60,"Suggestive","Normal")))</f>
        <v/>
      </c>
      <c r="AR65" t="n">
        <v>97</v>
      </c>
      <c r="AS65" t="n">
        <v>59</v>
      </c>
      <c r="AU65" t="n">
        <v>63</v>
      </c>
      <c r="AV65" t="n">
        <v>0</v>
      </c>
      <c r="AW65" t="n">
        <v>0</v>
      </c>
      <c r="AY65" t="n">
        <v>63</v>
      </c>
      <c r="AZ65" t="n">
        <v>-8</v>
      </c>
      <c r="BB65" t="n">
        <v>63</v>
      </c>
      <c r="BC65" t="n">
        <v>-12</v>
      </c>
    </row>
    <row r="66">
      <c r="A66" s="9" t="inlineStr">
        <is>
          <t>N</t>
        </is>
      </c>
      <c r="B66" s="10" t="inlineStr">
        <is>
          <t>Bipolar Manic</t>
        </is>
      </c>
      <c r="C66" s="10" t="inlineStr">
        <is>
          <t>Clinical Syn</t>
        </is>
      </c>
      <c r="D66" s="11">
        <f>2*$B$11+2*$E$27+2*$H$34+2*$K$9+2*$K$28+$B$30+$E$14+$E$24+$H$21+$K$20+$K$37+$N$34+$N$38</f>
        <v/>
      </c>
      <c r="E66" s="12">
        <f>VLOOKUP(MIN(D66,35),$P:$AG,COLUMN($AG$1)-COLUMN($P$1)+1,TRUE)</f>
        <v/>
      </c>
      <c r="F66" s="6">
        <f>IF(D47="",0,VLOOKUP(MIN(MAX(D47,0),199),$AU:$AW,3,TRUE))</f>
        <v/>
      </c>
      <c r="G66" s="13" t="n">
        <v>0</v>
      </c>
      <c r="H66" s="13" t="n">
        <v>0</v>
      </c>
      <c r="I66" s="13" t="n">
        <v>0</v>
      </c>
      <c r="J66" s="14">
        <f>MIN(MAX(E66+F66+G66+H66+I66,0),115)</f>
        <v/>
      </c>
      <c r="K66" s="6">
        <f>IF(J66&gt;=85,"PATHOLOGICAL",IF(J66&gt;=75,"PRESENT",IF(J66&gt;=60,"Suggestive","Normal")))</f>
        <v/>
      </c>
      <c r="AR66" t="n">
        <v>98</v>
      </c>
      <c r="AS66" t="n">
        <v>60</v>
      </c>
      <c r="AU66" t="n">
        <v>64</v>
      </c>
      <c r="AV66" t="n">
        <v>0</v>
      </c>
      <c r="AW66" t="n">
        <v>0</v>
      </c>
      <c r="AY66" t="n">
        <v>64</v>
      </c>
      <c r="AZ66" t="n">
        <v>-9</v>
      </c>
      <c r="BB66" t="n">
        <v>64</v>
      </c>
      <c r="BC66" t="n">
        <v>-12</v>
      </c>
    </row>
    <row r="67">
      <c r="A67" s="9" t="inlineStr">
        <is>
          <t>D</t>
        </is>
      </c>
      <c r="B67" s="10" t="inlineStr">
        <is>
          <t>Dysthymia</t>
        </is>
      </c>
      <c r="C67" s="10" t="inlineStr">
        <is>
          <t>Clinical Syn</t>
        </is>
      </c>
      <c r="D67" s="11">
        <f>2*$B$32+2*$E$29+2*$E$35+2*$H$24+2*$K$14+2*$K$33+$B$23+$B$33+$E$28+$H$21+$H$42+$N$9+$N$10+$N$16</f>
        <v/>
      </c>
      <c r="E67" s="12">
        <f>VLOOKUP(MIN(D67,35),$P:$AH,COLUMN($AH$1)-COLUMN($P$1)+1,TRUE)</f>
        <v/>
      </c>
      <c r="F67" s="6">
        <f>IF(D47="",0,VLOOKUP(MIN(MAX(D47,0),199),$AU:$AW,3,TRUE))</f>
        <v/>
      </c>
      <c r="G67" s="13" t="n">
        <v>0</v>
      </c>
      <c r="H67" s="13" t="n">
        <v>0</v>
      </c>
      <c r="I67" s="13" t="n">
        <v>0</v>
      </c>
      <c r="J67" s="14">
        <f>MIN(MAX(E67+F67+G67+H67+I67,0),115)</f>
        <v/>
      </c>
      <c r="K67" s="6">
        <f>IF(J67&gt;=85,"PATHOLOGICAL",IF(J67&gt;=75,"PRESENT",IF(J67&gt;=60,"Suggestive","Normal")))</f>
        <v/>
      </c>
      <c r="AR67" t="n">
        <v>99</v>
      </c>
      <c r="AS67" t="n">
        <v>61</v>
      </c>
      <c r="AU67" t="n">
        <v>65</v>
      </c>
      <c r="AV67" t="n">
        <v>0</v>
      </c>
      <c r="AW67" t="n">
        <v>0</v>
      </c>
      <c r="AY67" t="n">
        <v>65</v>
      </c>
      <c r="AZ67" t="n">
        <v>-9</v>
      </c>
      <c r="BB67" t="n">
        <v>65</v>
      </c>
      <c r="BC67" t="n">
        <v>-13</v>
      </c>
    </row>
    <row r="68">
      <c r="A68" s="9" t="inlineStr">
        <is>
          <t>B</t>
        </is>
      </c>
      <c r="B68" s="10" t="inlineStr">
        <is>
          <t>Alcohol Dep</t>
        </is>
      </c>
      <c r="C68" s="10" t="inlineStr">
        <is>
          <t>Clinical Syn</t>
        </is>
      </c>
      <c r="D68" s="11">
        <f>2*$E$25+2*$H$15+2*$H$38+2*$K$34+2*$N$20+$B$22+$E$14+$E$37+$H$31+$H$39+$K$16+$K$25+$K$42+$N$34+(1-$B$31)</f>
        <v/>
      </c>
      <c r="E68" s="12">
        <f>VLOOKUP(MIN(D68,35),$P:$AI,COLUMN($AI$1)-COLUMN($P$1)+1,TRUE)</f>
        <v/>
      </c>
      <c r="F68" s="6">
        <f>IF(D47="",0,VLOOKUP(MIN(MAX(D47,0),199),$AU:$AW,3,TRUE))</f>
        <v/>
      </c>
      <c r="G68" s="13" t="n">
        <v>0</v>
      </c>
      <c r="H68" s="13" t="n">
        <v>0</v>
      </c>
      <c r="I68" s="13" t="n">
        <v>0</v>
      </c>
      <c r="J68" s="14">
        <f>MIN(MAX(E68+F68+G68+H68+I68,0),115)</f>
        <v/>
      </c>
      <c r="K68" s="6">
        <f>IF(J68&gt;=85,"PATHOLOGICAL",IF(J68&gt;=75,"PRESENT",IF(J68&gt;=60,"Suggestive","Normal")))</f>
        <v/>
      </c>
      <c r="AR68" t="n">
        <v>100</v>
      </c>
      <c r="AS68" t="n">
        <v>61</v>
      </c>
      <c r="AU68" t="n">
        <v>66</v>
      </c>
      <c r="AV68" t="n">
        <v>0</v>
      </c>
      <c r="AW68" t="n">
        <v>0</v>
      </c>
      <c r="AY68" t="n">
        <v>66</v>
      </c>
      <c r="AZ68" t="n">
        <v>-9</v>
      </c>
      <c r="BB68" t="n">
        <v>66</v>
      </c>
      <c r="BC68" t="n">
        <v>-13</v>
      </c>
    </row>
    <row r="69">
      <c r="A69" s="9" t="inlineStr">
        <is>
          <t>T</t>
        </is>
      </c>
      <c r="B69" s="10" t="inlineStr">
        <is>
          <t>Drug Dep</t>
        </is>
      </c>
      <c r="C69" s="10" t="inlineStr">
        <is>
          <t>Clinical Syn</t>
        </is>
      </c>
      <c r="D69" s="11">
        <f>2*$B$21+2*$E$12+2*$E$39+2*$H$29+2*$K$21+2*$K$39+$B$15+$B$29+$E$11+$E$14+$E$26+$H$39+$K$16+$K$42</f>
        <v/>
      </c>
      <c r="E69" s="12">
        <f>VLOOKUP(MIN(D69,35),$P:$AJ,COLUMN($AJ$1)-COLUMN($P$1)+1,TRUE)</f>
        <v/>
      </c>
      <c r="F69" s="6">
        <f>IF(D47="",0,VLOOKUP(MIN(MAX(D47,0),199),$AU:$AW,3,TRUE))</f>
        <v/>
      </c>
      <c r="G69" s="13" t="n">
        <v>0</v>
      </c>
      <c r="H69" s="13" t="n">
        <v>0</v>
      </c>
      <c r="I69" s="13" t="n">
        <v>0</v>
      </c>
      <c r="J69" s="14">
        <f>MIN(MAX(E69+F69+G69+H69+I69,0),115)</f>
        <v/>
      </c>
      <c r="K69" s="6">
        <f>IF(J69&gt;=85,"PATHOLOGICAL",IF(J69&gt;=75,"PRESENT",IF(J69&gt;=60,"Suggestive","Normal")))</f>
        <v/>
      </c>
      <c r="AR69" t="n">
        <v>101</v>
      </c>
      <c r="AS69" t="n">
        <v>62</v>
      </c>
      <c r="AU69" t="n">
        <v>67</v>
      </c>
      <c r="AV69" t="n">
        <v>0</v>
      </c>
      <c r="AW69" t="n">
        <v>0</v>
      </c>
      <c r="AY69" t="n">
        <v>67</v>
      </c>
      <c r="AZ69" t="n">
        <v>-9</v>
      </c>
      <c r="BB69" t="n">
        <v>67</v>
      </c>
      <c r="BC69" t="n">
        <v>-13</v>
      </c>
    </row>
    <row r="70">
      <c r="A70" s="9" t="inlineStr">
        <is>
          <t>R</t>
        </is>
      </c>
      <c r="B70" s="10" t="inlineStr">
        <is>
          <t>PTSD</t>
        </is>
      </c>
      <c r="C70" s="10" t="inlineStr">
        <is>
          <t>Clinical Syn</t>
        </is>
      </c>
      <c r="D70" s="11">
        <f>2*$K$12+2*$K$32+2*$N$17+2*$N$28+2*$N$41+$E$35+$H$14+$H$21+$K$26+$K$36+$N$10+$N$15+$N$16+$N$19+$N$22+$N$32</f>
        <v/>
      </c>
      <c r="E70" s="12">
        <f>VLOOKUP(MIN(D70,35),$P:$AK,COLUMN($AK$1)-COLUMN($P$1)+1,TRUE)</f>
        <v/>
      </c>
      <c r="F70" s="6">
        <f>IF(D47="",0,VLOOKUP(MIN(MAX(D47,0),199),$AU:$AW,3,TRUE))</f>
        <v/>
      </c>
      <c r="G70" s="13" t="n">
        <v>0</v>
      </c>
      <c r="H70" s="13" t="n">
        <v>0</v>
      </c>
      <c r="I70" s="13" t="n">
        <v>0</v>
      </c>
      <c r="J70" s="14">
        <f>MIN(MAX(E70+F70+G70+H70+I70,0),115)</f>
        <v/>
      </c>
      <c r="K70" s="6">
        <f>IF(J70&gt;=85,"PATHOLOGICAL",IF(J70&gt;=75,"PRESENT",IF(J70&gt;=60,"Suggestive","Normal")))</f>
        <v/>
      </c>
      <c r="AR70" t="n">
        <v>102</v>
      </c>
      <c r="AS70" t="n">
        <v>63</v>
      </c>
      <c r="AU70" t="n">
        <v>68</v>
      </c>
      <c r="AV70" t="n">
        <v>0</v>
      </c>
      <c r="AW70" t="n">
        <v>0</v>
      </c>
      <c r="AY70" t="n">
        <v>68</v>
      </c>
      <c r="AZ70" t="n">
        <v>-9</v>
      </c>
      <c r="BB70" t="n">
        <v>68</v>
      </c>
      <c r="BC70" t="n">
        <v>-13</v>
      </c>
    </row>
    <row r="71">
      <c r="A71" s="9" t="inlineStr">
        <is>
          <t>SS</t>
        </is>
      </c>
      <c r="B71" s="10" t="inlineStr">
        <is>
          <t>Thought Dis</t>
        </is>
      </c>
      <c r="C71" s="10" t="inlineStr">
        <is>
          <t>Severe Clin</t>
        </is>
      </c>
      <c r="D71" s="11">
        <f>2*$B$42+2*$E$34+2*$E$41+2*$H$16+2*$H$40+2*$N$36+$B$30+$E$29+$H$10+$H$14+$H$21+$K$20+$K$37+$N$10+$N$16+$N$19+$N$30</f>
        <v/>
      </c>
      <c r="E71" s="12">
        <f>VLOOKUP(MIN(D71,35),$P:$AL,COLUMN($AL$1)-COLUMN($P$1)+1,TRUE)</f>
        <v/>
      </c>
      <c r="F71" s="6">
        <f>IF(D47="",0,VLOOKUP(MIN(MAX(D47,0),199),$AU:$AW,3,TRUE))</f>
        <v/>
      </c>
      <c r="G71" s="13" t="n">
        <v>0</v>
      </c>
      <c r="H71" s="6">
        <f>IF($B$5="Y",IF($E$5&lt;1,6,IF($E$5&lt;=4,4,0)),0)</f>
        <v/>
      </c>
      <c r="I71" s="13" t="n">
        <v>0</v>
      </c>
      <c r="J71" s="14">
        <f>MIN(MAX(E71+F71+G71+H71+I71,0),115)</f>
        <v/>
      </c>
      <c r="K71" s="6">
        <f>IF(J71&gt;=85,"PATHOLOGICAL",IF(J71&gt;=75,"PRESENT",IF(J71&gt;=60,"Suggestive","Normal")))</f>
        <v/>
      </c>
      <c r="AR71" t="n">
        <v>103</v>
      </c>
      <c r="AS71" t="n">
        <v>63</v>
      </c>
      <c r="AU71" t="n">
        <v>69</v>
      </c>
      <c r="AV71" t="n">
        <v>0</v>
      </c>
      <c r="AW71" t="n">
        <v>0</v>
      </c>
      <c r="AY71" t="n">
        <v>69</v>
      </c>
      <c r="AZ71" t="n">
        <v>-9</v>
      </c>
      <c r="BB71" t="n">
        <v>69</v>
      </c>
      <c r="BC71" t="n">
        <v>-13</v>
      </c>
    </row>
    <row r="72">
      <c r="A72" s="9" t="inlineStr">
        <is>
          <t>CC</t>
        </is>
      </c>
      <c r="B72" s="10" t="inlineStr">
        <is>
          <t>Major Dep</t>
        </is>
      </c>
      <c r="C72" s="10" t="inlineStr">
        <is>
          <t>Severe Clin</t>
        </is>
      </c>
      <c r="D72" s="11">
        <f>2*$B$9+2*$E$17+2*$K$10+2*$K$31+2*$N$18+2*$N$39+$B$12+$B$42+$E$28+$H$12+$H$42+$K$14+$K$33+$N$10+$N$16+$N$17+$N$22</f>
        <v/>
      </c>
      <c r="E72" s="12">
        <f>VLOOKUP(MIN(D72,35),$P:$AM,COLUMN($AM$1)-COLUMN($P$1)+1,TRUE)</f>
        <v/>
      </c>
      <c r="F72" s="6">
        <f>IF(D47="",0,VLOOKUP(MIN(MAX(D47,0),199),$AU:$AW,3,TRUE))</f>
        <v/>
      </c>
      <c r="G72" s="13" t="n">
        <v>0</v>
      </c>
      <c r="H72" s="6">
        <f>IF($B$5="Y",IF($E$5&lt;1,10,IF($E$5&lt;=4,8,0)),0)</f>
        <v/>
      </c>
      <c r="I72" s="13" t="n">
        <v>0</v>
      </c>
      <c r="J72" s="14">
        <f>MIN(MAX(E72+F72+G72+H72+I72,0),115)</f>
        <v/>
      </c>
      <c r="K72" s="6">
        <f>IF(J72&gt;=85,"PATHOLOGICAL",IF(J72&gt;=75,"PRESENT",IF(J72&gt;=60,"Suggestive","Normal")))</f>
        <v/>
      </c>
      <c r="AR72" t="n">
        <v>104</v>
      </c>
      <c r="AS72" t="n">
        <v>64</v>
      </c>
      <c r="AU72" t="n">
        <v>70</v>
      </c>
      <c r="AV72" t="n">
        <v>0</v>
      </c>
      <c r="AW72" t="n">
        <v>0</v>
      </c>
      <c r="AY72" t="n">
        <v>70</v>
      </c>
      <c r="AZ72" t="n">
        <v>-9</v>
      </c>
      <c r="BB72" t="n">
        <v>70</v>
      </c>
      <c r="BC72" t="n">
        <v>-14</v>
      </c>
    </row>
    <row r="73">
      <c r="A73" s="9" t="inlineStr">
        <is>
          <t>PP</t>
        </is>
      </c>
      <c r="B73" s="10" t="inlineStr">
        <is>
          <t>Delusional</t>
        </is>
      </c>
      <c r="C73" s="10" t="inlineStr">
        <is>
          <t>Severe Clin</t>
        </is>
      </c>
      <c r="D73" s="11">
        <f>2*$E$36+2*$K$22+2*$K$43+2*$N$21+$B$13+$E$11+$E$22+$E$40+$H$27+$H$41+$K$41+$N$27+$N$43</f>
        <v/>
      </c>
      <c r="E73" s="12">
        <f>VLOOKUP(MIN(D73,35),$P:$AN,COLUMN($AN$1)-COLUMN($P$1)+1,TRUE)</f>
        <v/>
      </c>
      <c r="F73" s="6">
        <f>IF(D47="",0,VLOOKUP(MIN(MAX(D47,0),199),$AU:$AW,3,TRUE))</f>
        <v/>
      </c>
      <c r="G73" s="13" t="n">
        <v>0</v>
      </c>
      <c r="H73" s="6">
        <f>IF($B$5="Y",IF($E$5&lt;1,4,IF($E$5&lt;=4,2,0)),0)</f>
        <v/>
      </c>
      <c r="I73" s="13" t="n">
        <v>0</v>
      </c>
      <c r="J73" s="14">
        <f>MIN(MAX(E73+F73+G73+H73+I73,0),115)</f>
        <v/>
      </c>
      <c r="K73" s="6">
        <f>IF(J73&gt;=85,"PATHOLOGICAL",IF(J73&gt;=75,"PRESENT",IF(J73&gt;=60,"Suggestive","Normal")))</f>
        <v/>
      </c>
      <c r="AR73" t="n">
        <v>105</v>
      </c>
      <c r="AS73" t="n">
        <v>65</v>
      </c>
      <c r="AU73" t="n">
        <v>71</v>
      </c>
      <c r="AV73" t="n">
        <v>0</v>
      </c>
      <c r="AW73" t="n">
        <v>0</v>
      </c>
      <c r="AY73" t="n">
        <v>71</v>
      </c>
      <c r="AZ73" t="n">
        <v>-9</v>
      </c>
      <c r="BB73" t="n">
        <v>71</v>
      </c>
      <c r="BC73" t="n">
        <v>-14</v>
      </c>
    </row>
    <row r="74">
      <c r="AR74" t="n">
        <v>106</v>
      </c>
      <c r="AS74" t="n">
        <v>65</v>
      </c>
      <c r="AU74" t="n">
        <v>72</v>
      </c>
      <c r="AV74" t="n">
        <v>0</v>
      </c>
      <c r="AW74" t="n">
        <v>0</v>
      </c>
      <c r="AY74" t="n">
        <v>72</v>
      </c>
      <c r="AZ74" t="n">
        <v>-10</v>
      </c>
      <c r="BB74" t="n">
        <v>72</v>
      </c>
      <c r="BC74" t="n">
        <v>-14</v>
      </c>
    </row>
    <row r="75">
      <c r="A75" s="4" t="inlineStr">
        <is>
          <t>VALIDITY</t>
        </is>
      </c>
      <c r="AR75" t="n">
        <v>107</v>
      </c>
      <c r="AS75" t="n">
        <v>66</v>
      </c>
      <c r="AU75" t="n">
        <v>73</v>
      </c>
      <c r="AV75" t="n">
        <v>0</v>
      </c>
      <c r="AW75" t="n">
        <v>0</v>
      </c>
      <c r="AY75" t="n">
        <v>73</v>
      </c>
      <c r="AZ75" t="n">
        <v>-10</v>
      </c>
      <c r="BB75" t="n">
        <v>73</v>
      </c>
      <c r="BC75" t="n">
        <v>-14</v>
      </c>
    </row>
    <row r="76">
      <c r="A76" t="inlineStr">
        <is>
          <t>V Score:</t>
        </is>
      </c>
      <c r="B76" s="15">
        <f>$E$38+$K$13+$N$25</f>
        <v/>
      </c>
      <c r="C76">
        <f>IF(B76&gt;1,"INVALID","OK")</f>
        <v/>
      </c>
      <c r="AR76" t="n">
        <v>108</v>
      </c>
      <c r="AS76" t="n">
        <v>67</v>
      </c>
      <c r="AU76" t="n">
        <v>74</v>
      </c>
      <c r="AV76" t="n">
        <v>0</v>
      </c>
      <c r="AW76" t="n">
        <v>0</v>
      </c>
      <c r="AY76" t="n">
        <v>74</v>
      </c>
      <c r="AZ76" t="n">
        <v>-10</v>
      </c>
      <c r="BB76" t="n">
        <v>74</v>
      </c>
      <c r="BC76" t="n">
        <v>-14</v>
      </c>
    </row>
    <row r="77">
      <c r="A77" t="inlineStr">
        <is>
          <t>X Raw:</t>
        </is>
      </c>
      <c r="B77" s="15">
        <f>D47</f>
        <v/>
      </c>
      <c r="C77">
        <f>IF(OR(B77&lt;34,B77&gt;178),"INVALID","OK")</f>
        <v/>
      </c>
      <c r="AR77" t="n">
        <v>109</v>
      </c>
      <c r="AS77" t="n">
        <v>67</v>
      </c>
      <c r="AU77" t="n">
        <v>75</v>
      </c>
      <c r="AV77" t="n">
        <v>0</v>
      </c>
      <c r="AW77" t="n">
        <v>0</v>
      </c>
      <c r="AY77" t="n">
        <v>75</v>
      </c>
      <c r="AZ77" t="n">
        <v>-10</v>
      </c>
      <c r="BB77" t="n">
        <v>75</v>
      </c>
      <c r="BC77" t="n">
        <v>-15</v>
      </c>
    </row>
    <row r="78">
      <c r="A78" s="16" t="inlineStr">
        <is>
          <t>STATUS:</t>
        </is>
      </c>
      <c r="B78" s="17">
        <f>IF(OR(B76&gt;1,B77&lt;34,B77&gt;178),"INVALID PROTOCOL","VALID")</f>
        <v/>
      </c>
      <c r="AR78" t="n">
        <v>110</v>
      </c>
      <c r="AS78" t="n">
        <v>68</v>
      </c>
      <c r="AU78" t="n">
        <v>76</v>
      </c>
      <c r="AV78" t="n">
        <v>0</v>
      </c>
      <c r="AW78" t="n">
        <v>0</v>
      </c>
      <c r="AY78" t="n">
        <v>76</v>
      </c>
      <c r="AZ78" t="n">
        <v>-10</v>
      </c>
      <c r="BB78" t="n">
        <v>76</v>
      </c>
      <c r="BC78" t="n">
        <v>-15</v>
      </c>
    </row>
    <row r="79">
      <c r="AR79" t="n">
        <v>111</v>
      </c>
      <c r="AS79" t="n">
        <v>69</v>
      </c>
      <c r="AU79" t="n">
        <v>77</v>
      </c>
      <c r="AV79" t="n">
        <v>0</v>
      </c>
      <c r="AW79" t="n">
        <v>0</v>
      </c>
      <c r="AY79" t="n">
        <v>77</v>
      </c>
      <c r="AZ79" t="n">
        <v>-10</v>
      </c>
      <c r="BB79" t="n">
        <v>77</v>
      </c>
      <c r="BC79" t="n">
        <v>-15</v>
      </c>
    </row>
    <row r="80">
      <c r="A80" s="4" t="inlineStr">
        <is>
          <t>INTERPRETATION</t>
        </is>
      </c>
      <c r="AR80" t="n">
        <v>112</v>
      </c>
      <c r="AS80" t="n">
        <v>69</v>
      </c>
      <c r="AU80" t="n">
        <v>78</v>
      </c>
      <c r="AV80" t="n">
        <v>0</v>
      </c>
      <c r="AW80" t="n">
        <v>0</v>
      </c>
      <c r="AY80" t="n">
        <v>78</v>
      </c>
      <c r="AZ80" t="n">
        <v>-10</v>
      </c>
      <c r="BB80" t="n">
        <v>78</v>
      </c>
      <c r="BC80" t="n">
        <v>-15</v>
      </c>
    </row>
    <row r="81">
      <c r="A81" t="inlineStr">
        <is>
          <t>BR 85-115 = PATHOLOGICAL (Disorder present)</t>
        </is>
      </c>
      <c r="AR81" t="n">
        <v>113</v>
      </c>
      <c r="AS81" t="n">
        <v>70</v>
      </c>
      <c r="AU81" t="n">
        <v>79</v>
      </c>
      <c r="AV81" t="n">
        <v>0</v>
      </c>
      <c r="AW81" t="n">
        <v>0</v>
      </c>
      <c r="AY81" t="n">
        <v>79</v>
      </c>
      <c r="AZ81" t="n">
        <v>-10</v>
      </c>
      <c r="BB81" t="n">
        <v>79</v>
      </c>
      <c r="BC81" t="n">
        <v>-15</v>
      </c>
    </row>
    <row r="82">
      <c r="A82" t="inlineStr">
        <is>
          <t>BR 75-84 = PRESENT (Clinically significant trait)</t>
        </is>
      </c>
      <c r="AR82" t="n">
        <v>114</v>
      </c>
      <c r="AS82" t="n">
        <v>71</v>
      </c>
      <c r="AU82" t="n">
        <v>80</v>
      </c>
      <c r="AV82" t="n">
        <v>0</v>
      </c>
      <c r="AW82" t="n">
        <v>0</v>
      </c>
      <c r="AY82" t="n">
        <v>80</v>
      </c>
      <c r="AZ82" t="n">
        <v>-10</v>
      </c>
      <c r="BB82" t="n">
        <v>80</v>
      </c>
      <c r="BC82" t="n">
        <v>-15</v>
      </c>
    </row>
    <row r="83">
      <c r="A83" t="inlineStr">
        <is>
          <t>BR 60-74 = Suggestive (Subclinical)</t>
        </is>
      </c>
      <c r="AR83" t="n">
        <v>115</v>
      </c>
      <c r="AS83" t="n">
        <v>71</v>
      </c>
      <c r="AU83" t="n">
        <v>81</v>
      </c>
      <c r="AV83" t="n">
        <v>0</v>
      </c>
      <c r="AW83" t="n">
        <v>0</v>
      </c>
    </row>
    <row r="84">
      <c r="A84" t="inlineStr">
        <is>
          <t>BR 0-59 = Normal</t>
        </is>
      </c>
      <c r="AR84" t="n">
        <v>116</v>
      </c>
      <c r="AS84" t="n">
        <v>72</v>
      </c>
      <c r="AU84" t="n">
        <v>82</v>
      </c>
      <c r="AV84" t="n">
        <v>0</v>
      </c>
      <c r="AW84" t="n">
        <v>0</v>
      </c>
    </row>
    <row r="85">
      <c r="AR85" t="n">
        <v>117</v>
      </c>
      <c r="AS85" t="n">
        <v>73</v>
      </c>
      <c r="AU85" t="n">
        <v>83</v>
      </c>
      <c r="AV85" t="n">
        <v>0</v>
      </c>
      <c r="AW85" t="n">
        <v>0</v>
      </c>
    </row>
    <row r="86">
      <c r="A86" s="4" t="inlineStr">
        <is>
          <t>INSTRUCTIONS</t>
        </is>
      </c>
      <c r="AR86" t="n">
        <v>118</v>
      </c>
      <c r="AS86" t="n">
        <v>73</v>
      </c>
      <c r="AU86" t="n">
        <v>84</v>
      </c>
      <c r="AV86" t="n">
        <v>0</v>
      </c>
      <c r="AW86" t="n">
        <v>0</v>
      </c>
    </row>
    <row r="87">
      <c r="A87" t="inlineStr">
        <is>
          <t>1. Enter 1 (TRUE) or 0 (FALSE) for all 175 items in yellow cells above</t>
        </is>
      </c>
      <c r="AR87" t="n">
        <v>119</v>
      </c>
      <c r="AS87" t="n">
        <v>74</v>
      </c>
      <c r="AU87" t="n">
        <v>85</v>
      </c>
      <c r="AV87" t="n">
        <v>0</v>
      </c>
      <c r="AW87" t="n">
        <v>0</v>
      </c>
    </row>
    <row r="88">
      <c r="A88" t="inlineStr">
        <is>
          <t>2. Raw scores auto-calculate with correct WEIGHTS (proto=2, nonproto=1, false=1)</t>
        </is>
      </c>
      <c r="AR88" t="n">
        <v>120</v>
      </c>
      <c r="AS88" t="n">
        <v>74</v>
      </c>
      <c r="AU88" t="n">
        <v>86</v>
      </c>
      <c r="AV88" t="n">
        <v>0</v>
      </c>
      <c r="AW88" t="n">
        <v>0</v>
      </c>
    </row>
    <row r="89">
      <c r="A89" t="inlineStr">
        <is>
          <t>3. BR scores auto-calculate from Appendix C lookup tables</t>
        </is>
      </c>
      <c r="AR89" t="n">
        <v>121</v>
      </c>
      <c r="AS89" t="n">
        <v>75</v>
      </c>
      <c r="AU89" t="n">
        <v>87</v>
      </c>
      <c r="AV89" t="n">
        <v>0</v>
      </c>
      <c r="AW89" t="n">
        <v>0</v>
      </c>
    </row>
    <row r="90">
      <c r="A90" t="inlineStr">
        <is>
          <t>4. Disclosure, A/D, and Inpatient adjustments are automatic</t>
        </is>
      </c>
      <c r="AR90" t="n">
        <v>122</v>
      </c>
      <c r="AS90" t="n">
        <v>75</v>
      </c>
      <c r="AU90" t="n">
        <v>88</v>
      </c>
      <c r="AV90" t="n">
        <v>0</v>
      </c>
      <c r="AW90" t="n">
        <v>0</v>
      </c>
    </row>
    <row r="91">
      <c r="A91" t="inlineStr">
        <is>
          <t>5. For Denial/Complaint (Col I): enter 8 if highest 1-8B scale is 4, 5, or 7</t>
        </is>
      </c>
      <c r="AR91" t="n">
        <v>123</v>
      </c>
      <c r="AS91" t="n">
        <v>75</v>
      </c>
      <c r="AU91" t="n">
        <v>89</v>
      </c>
      <c r="AV91" t="n">
        <v>0</v>
      </c>
      <c r="AW91" t="n">
        <v>0</v>
      </c>
    </row>
    <row r="92">
      <c r="A92" t="inlineStr">
        <is>
          <t>6. Final BR and Significance appear automatically</t>
        </is>
      </c>
      <c r="AR92" t="n">
        <v>124</v>
      </c>
      <c r="AS92" t="n">
        <v>76</v>
      </c>
      <c r="AU92" t="n">
        <v>90</v>
      </c>
      <c r="AV92" t="n">
        <v>0</v>
      </c>
      <c r="AW92" t="n">
        <v>0</v>
      </c>
    </row>
    <row r="93">
      <c r="A93" t="inlineStr">
        <is>
          <t>7. Scale 5 (Narcissistic) does NOT multiply by 2/3 - it has 24 items with weights</t>
        </is>
      </c>
      <c r="AR93" t="n">
        <v>125</v>
      </c>
      <c r="AS93" t="n">
        <v>76</v>
      </c>
      <c r="AU93" t="n">
        <v>91</v>
      </c>
      <c r="AV93" t="n">
        <v>0</v>
      </c>
      <c r="AW93" t="n">
        <v>0</v>
      </c>
    </row>
    <row r="94">
      <c r="A94" t="inlineStr">
        <is>
          <t>8. Validity: V&gt;1 or X&lt;34 or X&gt;178 = INVALID protocol</t>
        </is>
      </c>
      <c r="AR94" t="n">
        <v>126</v>
      </c>
      <c r="AS94" t="n">
        <v>76</v>
      </c>
      <c r="AU94" t="n">
        <v>92</v>
      </c>
      <c r="AV94" t="n">
        <v>0</v>
      </c>
      <c r="AW94" t="n">
        <v>0</v>
      </c>
    </row>
    <row r="95">
      <c r="AR95" t="n">
        <v>127</v>
      </c>
      <c r="AS95" t="n">
        <v>77</v>
      </c>
      <c r="AU95" t="n">
        <v>93</v>
      </c>
      <c r="AV95" t="n">
        <v>0</v>
      </c>
      <c r="AW95" t="n">
        <v>0</v>
      </c>
    </row>
    <row r="96">
      <c r="AR96" t="n">
        <v>128</v>
      </c>
      <c r="AS96" t="n">
        <v>77</v>
      </c>
      <c r="AU96" t="n">
        <v>94</v>
      </c>
      <c r="AV96" t="n">
        <v>0</v>
      </c>
      <c r="AW96" t="n">
        <v>0</v>
      </c>
    </row>
    <row r="97">
      <c r="AR97" t="n">
        <v>129</v>
      </c>
      <c r="AS97" t="n">
        <v>77</v>
      </c>
      <c r="AU97" t="n">
        <v>95</v>
      </c>
      <c r="AV97" t="n">
        <v>0</v>
      </c>
      <c r="AW97" t="n">
        <v>0</v>
      </c>
    </row>
    <row r="98">
      <c r="AR98" t="n">
        <v>130</v>
      </c>
      <c r="AS98" t="n">
        <v>78</v>
      </c>
      <c r="AU98" t="n">
        <v>96</v>
      </c>
      <c r="AV98" t="n">
        <v>0</v>
      </c>
      <c r="AW98" t="n">
        <v>0</v>
      </c>
    </row>
    <row r="99">
      <c r="AR99" t="n">
        <v>131</v>
      </c>
      <c r="AS99" t="n">
        <v>78</v>
      </c>
      <c r="AU99" t="n">
        <v>97</v>
      </c>
      <c r="AV99" t="n">
        <v>0</v>
      </c>
      <c r="AW99" t="n">
        <v>0</v>
      </c>
    </row>
    <row r="100">
      <c r="AR100" t="n">
        <v>132</v>
      </c>
      <c r="AS100" t="n">
        <v>78</v>
      </c>
      <c r="AU100" t="n">
        <v>98</v>
      </c>
      <c r="AV100" t="n">
        <v>0</v>
      </c>
      <c r="AW100" t="n">
        <v>0</v>
      </c>
    </row>
    <row r="101">
      <c r="AR101" t="n">
        <v>133</v>
      </c>
      <c r="AS101" t="n">
        <v>79</v>
      </c>
      <c r="AU101" t="n">
        <v>99</v>
      </c>
      <c r="AV101" t="n">
        <v>0</v>
      </c>
      <c r="AW101" t="n">
        <v>0</v>
      </c>
    </row>
    <row r="102">
      <c r="AR102" t="n">
        <v>134</v>
      </c>
      <c r="AS102" t="n">
        <v>79</v>
      </c>
      <c r="AU102" t="n">
        <v>100</v>
      </c>
      <c r="AV102" t="n">
        <v>0</v>
      </c>
      <c r="AW102" t="n">
        <v>0</v>
      </c>
    </row>
    <row r="103">
      <c r="AR103" t="n">
        <v>135</v>
      </c>
      <c r="AS103" t="n">
        <v>79</v>
      </c>
      <c r="AU103" t="n">
        <v>101</v>
      </c>
      <c r="AV103" t="n">
        <v>0</v>
      </c>
      <c r="AW103" t="n">
        <v>0</v>
      </c>
    </row>
    <row r="104">
      <c r="AR104" t="n">
        <v>136</v>
      </c>
      <c r="AS104" t="n">
        <v>80</v>
      </c>
      <c r="AU104" t="n">
        <v>102</v>
      </c>
      <c r="AV104" t="n">
        <v>0</v>
      </c>
      <c r="AW104" t="n">
        <v>0</v>
      </c>
    </row>
    <row r="105">
      <c r="AR105" t="n">
        <v>137</v>
      </c>
      <c r="AS105" t="n">
        <v>80</v>
      </c>
      <c r="AU105" t="n">
        <v>103</v>
      </c>
      <c r="AV105" t="n">
        <v>0</v>
      </c>
      <c r="AW105" t="n">
        <v>0</v>
      </c>
    </row>
    <row r="106">
      <c r="AR106" t="n">
        <v>138</v>
      </c>
      <c r="AS106" t="n">
        <v>80</v>
      </c>
      <c r="AU106" t="n">
        <v>104</v>
      </c>
      <c r="AV106" t="n">
        <v>0</v>
      </c>
      <c r="AW106" t="n">
        <v>0</v>
      </c>
    </row>
    <row r="107">
      <c r="AR107" t="n">
        <v>139</v>
      </c>
      <c r="AS107" t="n">
        <v>81</v>
      </c>
      <c r="AU107" t="n">
        <v>105</v>
      </c>
      <c r="AV107" t="n">
        <v>0</v>
      </c>
      <c r="AW107" t="n">
        <v>0</v>
      </c>
    </row>
    <row r="108">
      <c r="AR108" t="n">
        <v>140</v>
      </c>
      <c r="AS108" t="n">
        <v>81</v>
      </c>
      <c r="AU108" t="n">
        <v>106</v>
      </c>
      <c r="AV108" t="n">
        <v>0</v>
      </c>
      <c r="AW108" t="n">
        <v>0</v>
      </c>
    </row>
    <row r="109">
      <c r="AR109" t="n">
        <v>141</v>
      </c>
      <c r="AS109" t="n">
        <v>81</v>
      </c>
      <c r="AU109" t="n">
        <v>107</v>
      </c>
      <c r="AV109" t="n">
        <v>0</v>
      </c>
      <c r="AW109" t="n">
        <v>0</v>
      </c>
    </row>
    <row r="110">
      <c r="AR110" t="n">
        <v>142</v>
      </c>
      <c r="AS110" t="n">
        <v>82</v>
      </c>
      <c r="AU110" t="n">
        <v>108</v>
      </c>
      <c r="AV110" t="n">
        <v>0</v>
      </c>
      <c r="AW110" t="n">
        <v>0</v>
      </c>
    </row>
    <row r="111">
      <c r="AR111" t="n">
        <v>143</v>
      </c>
      <c r="AS111" t="n">
        <v>82</v>
      </c>
      <c r="AU111" t="n">
        <v>109</v>
      </c>
      <c r="AV111" t="n">
        <v>0</v>
      </c>
      <c r="AW111" t="n">
        <v>0</v>
      </c>
    </row>
    <row r="112">
      <c r="AR112" t="n">
        <v>144</v>
      </c>
      <c r="AS112" t="n">
        <v>82</v>
      </c>
      <c r="AU112" t="n">
        <v>110</v>
      </c>
      <c r="AV112" t="n">
        <v>0</v>
      </c>
      <c r="AW112" t="n">
        <v>0</v>
      </c>
    </row>
    <row r="113">
      <c r="AR113" t="n">
        <v>145</v>
      </c>
      <c r="AS113" t="n">
        <v>83</v>
      </c>
      <c r="AU113" t="n">
        <v>111</v>
      </c>
      <c r="AV113" t="n">
        <v>0</v>
      </c>
      <c r="AW113" t="n">
        <v>0</v>
      </c>
    </row>
    <row r="114">
      <c r="AR114" t="n">
        <v>146</v>
      </c>
      <c r="AS114" t="n">
        <v>83</v>
      </c>
      <c r="AU114" t="n">
        <v>112</v>
      </c>
      <c r="AV114" t="n">
        <v>0</v>
      </c>
      <c r="AW114" t="n">
        <v>0</v>
      </c>
    </row>
    <row r="115">
      <c r="AR115" t="n">
        <v>147</v>
      </c>
      <c r="AS115" t="n">
        <v>84</v>
      </c>
      <c r="AU115" t="n">
        <v>113</v>
      </c>
      <c r="AV115" t="n">
        <v>0</v>
      </c>
      <c r="AW115" t="n">
        <v>0</v>
      </c>
    </row>
    <row r="116">
      <c r="AR116" t="n">
        <v>148</v>
      </c>
      <c r="AS116" t="n">
        <v>84</v>
      </c>
      <c r="AU116" t="n">
        <v>114</v>
      </c>
      <c r="AV116" t="n">
        <v>0</v>
      </c>
      <c r="AW116" t="n">
        <v>0</v>
      </c>
    </row>
    <row r="117">
      <c r="AR117" t="n">
        <v>149</v>
      </c>
      <c r="AS117" t="n">
        <v>85</v>
      </c>
      <c r="AU117" t="n">
        <v>115</v>
      </c>
      <c r="AV117" t="n">
        <v>0</v>
      </c>
      <c r="AW117" t="n">
        <v>0</v>
      </c>
    </row>
    <row r="118">
      <c r="AR118" t="n">
        <v>150</v>
      </c>
      <c r="AS118" t="n">
        <v>85</v>
      </c>
      <c r="AU118" t="n">
        <v>116</v>
      </c>
      <c r="AV118" t="n">
        <v>0</v>
      </c>
      <c r="AW118" t="n">
        <v>0</v>
      </c>
    </row>
    <row r="119">
      <c r="AR119" t="n">
        <v>151</v>
      </c>
      <c r="AS119" t="n">
        <v>86</v>
      </c>
      <c r="AU119" t="n">
        <v>117</v>
      </c>
      <c r="AV119" t="n">
        <v>0</v>
      </c>
      <c r="AW119" t="n">
        <v>0</v>
      </c>
    </row>
    <row r="120">
      <c r="AR120" t="n">
        <v>152</v>
      </c>
      <c r="AS120" t="n">
        <v>86</v>
      </c>
      <c r="AU120" t="n">
        <v>118</v>
      </c>
      <c r="AV120" t="n">
        <v>0</v>
      </c>
      <c r="AW120" t="n">
        <v>0</v>
      </c>
    </row>
    <row r="121">
      <c r="AR121" t="n">
        <v>153</v>
      </c>
      <c r="AS121" t="n">
        <v>87</v>
      </c>
      <c r="AU121" t="n">
        <v>119</v>
      </c>
      <c r="AV121" t="n">
        <v>0</v>
      </c>
      <c r="AW121" t="n">
        <v>0</v>
      </c>
    </row>
    <row r="122">
      <c r="AR122" t="n">
        <v>154</v>
      </c>
      <c r="AS122" t="n">
        <v>88</v>
      </c>
      <c r="AU122" t="n">
        <v>120</v>
      </c>
      <c r="AV122" t="n">
        <v>0</v>
      </c>
      <c r="AW122" t="n">
        <v>0</v>
      </c>
    </row>
    <row r="123">
      <c r="AR123" t="n">
        <v>155</v>
      </c>
      <c r="AS123" t="n">
        <v>88</v>
      </c>
      <c r="AU123" t="n">
        <v>121</v>
      </c>
      <c r="AV123" t="n">
        <v>0</v>
      </c>
      <c r="AW123" t="n">
        <v>0</v>
      </c>
    </row>
    <row r="124">
      <c r="AR124" t="n">
        <v>156</v>
      </c>
      <c r="AS124" t="n">
        <v>89</v>
      </c>
      <c r="AU124" t="n">
        <v>122</v>
      </c>
      <c r="AV124" t="n">
        <v>0</v>
      </c>
      <c r="AW124" t="n">
        <v>0</v>
      </c>
    </row>
    <row r="125">
      <c r="AR125" t="n">
        <v>157</v>
      </c>
      <c r="AS125" t="n">
        <v>89</v>
      </c>
      <c r="AU125" t="n">
        <v>123</v>
      </c>
      <c r="AV125" t="n">
        <v>0</v>
      </c>
      <c r="AW125" t="n">
        <v>0</v>
      </c>
    </row>
    <row r="126">
      <c r="AR126" t="n">
        <v>158</v>
      </c>
      <c r="AS126" t="n">
        <v>90</v>
      </c>
      <c r="AU126" t="n">
        <v>124</v>
      </c>
      <c r="AV126" t="n">
        <v>-1</v>
      </c>
      <c r="AW126" t="n">
        <v>-1</v>
      </c>
    </row>
    <row r="127">
      <c r="AR127" t="n">
        <v>159</v>
      </c>
      <c r="AS127" t="n">
        <v>90</v>
      </c>
      <c r="AU127" t="n">
        <v>125</v>
      </c>
      <c r="AV127" t="n">
        <v>-1</v>
      </c>
      <c r="AW127" t="n">
        <v>-1</v>
      </c>
    </row>
    <row r="128">
      <c r="AR128" t="n">
        <v>160</v>
      </c>
      <c r="AS128" t="n">
        <v>91</v>
      </c>
      <c r="AU128" t="n">
        <v>126</v>
      </c>
      <c r="AV128" t="n">
        <v>-1</v>
      </c>
      <c r="AW128" t="n">
        <v>-1</v>
      </c>
    </row>
    <row r="129">
      <c r="AR129" t="n">
        <v>161</v>
      </c>
      <c r="AS129" t="n">
        <v>92</v>
      </c>
      <c r="AU129" t="n">
        <v>127</v>
      </c>
      <c r="AV129" t="n">
        <v>-2</v>
      </c>
      <c r="AW129" t="n">
        <v>-2</v>
      </c>
    </row>
    <row r="130">
      <c r="AR130" t="n">
        <v>162</v>
      </c>
      <c r="AS130" t="n">
        <v>92</v>
      </c>
      <c r="AU130" t="n">
        <v>128</v>
      </c>
      <c r="AV130" t="n">
        <v>-2</v>
      </c>
      <c r="AW130" t="n">
        <v>-2</v>
      </c>
    </row>
    <row r="131">
      <c r="AR131" t="n">
        <v>163</v>
      </c>
      <c r="AS131" t="n">
        <v>93</v>
      </c>
      <c r="AU131" t="n">
        <v>129</v>
      </c>
      <c r="AV131" t="n">
        <v>-3</v>
      </c>
      <c r="AW131" t="n">
        <v>-2</v>
      </c>
    </row>
    <row r="132">
      <c r="AR132" t="n">
        <v>164</v>
      </c>
      <c r="AS132" t="n">
        <v>93</v>
      </c>
      <c r="AU132" t="n">
        <v>130</v>
      </c>
      <c r="AV132" t="n">
        <v>-3</v>
      </c>
      <c r="AW132" t="n">
        <v>-2</v>
      </c>
    </row>
    <row r="133">
      <c r="AR133" t="n">
        <v>165</v>
      </c>
      <c r="AS133" t="n">
        <v>94</v>
      </c>
      <c r="AU133" t="n">
        <v>131</v>
      </c>
      <c r="AV133" t="n">
        <v>-3</v>
      </c>
      <c r="AW133" t="n">
        <v>-2</v>
      </c>
    </row>
    <row r="134">
      <c r="AR134" t="n">
        <v>166</v>
      </c>
      <c r="AS134" t="n">
        <v>94</v>
      </c>
      <c r="AU134" t="n">
        <v>132</v>
      </c>
      <c r="AV134" t="n">
        <v>-4</v>
      </c>
      <c r="AW134" t="n">
        <v>-3</v>
      </c>
    </row>
    <row r="135">
      <c r="AR135" t="n">
        <v>167</v>
      </c>
      <c r="AS135" t="n">
        <v>95</v>
      </c>
      <c r="AU135" t="n">
        <v>133</v>
      </c>
      <c r="AV135" t="n">
        <v>-4</v>
      </c>
      <c r="AW135" t="n">
        <v>-3</v>
      </c>
    </row>
    <row r="136">
      <c r="AR136" t="n">
        <v>168</v>
      </c>
      <c r="AS136" t="n">
        <v>95</v>
      </c>
      <c r="AU136" t="n">
        <v>134</v>
      </c>
      <c r="AV136" t="n">
        <v>-5</v>
      </c>
      <c r="AW136" t="n">
        <v>-3</v>
      </c>
    </row>
    <row r="137">
      <c r="AR137" t="n">
        <v>169</v>
      </c>
      <c r="AS137" t="n">
        <v>96</v>
      </c>
      <c r="AU137" t="n">
        <v>135</v>
      </c>
      <c r="AV137" t="n">
        <v>-5</v>
      </c>
      <c r="AW137" t="n">
        <v>-3</v>
      </c>
    </row>
    <row r="138">
      <c r="AR138" t="n">
        <v>170</v>
      </c>
      <c r="AS138" t="n">
        <v>96</v>
      </c>
      <c r="AU138" t="n">
        <v>136</v>
      </c>
      <c r="AV138" t="n">
        <v>-5</v>
      </c>
      <c r="AW138" t="n">
        <v>-3</v>
      </c>
    </row>
    <row r="139">
      <c r="AR139" t="n">
        <v>171</v>
      </c>
      <c r="AS139" t="n">
        <v>97</v>
      </c>
      <c r="AU139" t="n">
        <v>137</v>
      </c>
      <c r="AV139" t="n">
        <v>-6</v>
      </c>
      <c r="AW139" t="n">
        <v>-4</v>
      </c>
    </row>
    <row r="140">
      <c r="AR140" t="n">
        <v>172</v>
      </c>
      <c r="AS140" t="n">
        <v>97</v>
      </c>
      <c r="AU140" t="n">
        <v>138</v>
      </c>
      <c r="AV140" t="n">
        <v>-6</v>
      </c>
      <c r="AW140" t="n">
        <v>-4</v>
      </c>
    </row>
    <row r="141">
      <c r="AR141" t="n">
        <v>173</v>
      </c>
      <c r="AS141" t="n">
        <v>98</v>
      </c>
      <c r="AU141" t="n">
        <v>139</v>
      </c>
      <c r="AV141" t="n">
        <v>-7</v>
      </c>
      <c r="AW141" t="n">
        <v>-4</v>
      </c>
    </row>
    <row r="142">
      <c r="AR142" t="n">
        <v>174</v>
      </c>
      <c r="AS142" t="n">
        <v>99</v>
      </c>
      <c r="AU142" t="n">
        <v>140</v>
      </c>
      <c r="AV142" t="n">
        <v>-7</v>
      </c>
      <c r="AW142" t="n">
        <v>-4</v>
      </c>
    </row>
    <row r="143">
      <c r="AR143" t="n">
        <v>175</v>
      </c>
      <c r="AS143" t="n">
        <v>100</v>
      </c>
      <c r="AU143" t="n">
        <v>141</v>
      </c>
      <c r="AV143" t="n">
        <v>-7</v>
      </c>
      <c r="AW143" t="n">
        <v>-4</v>
      </c>
    </row>
    <row r="144">
      <c r="AR144" t="n">
        <v>176</v>
      </c>
      <c r="AS144" t="n">
        <v>100</v>
      </c>
      <c r="AU144" t="n">
        <v>142</v>
      </c>
      <c r="AV144" t="n">
        <v>-8</v>
      </c>
      <c r="AW144" t="n">
        <v>-5</v>
      </c>
    </row>
    <row r="145">
      <c r="AR145" t="n">
        <v>177</v>
      </c>
      <c r="AS145" t="n">
        <v>100</v>
      </c>
      <c r="AU145" t="n">
        <v>143</v>
      </c>
      <c r="AV145" t="n">
        <v>-8</v>
      </c>
      <c r="AW145" t="n">
        <v>-5</v>
      </c>
    </row>
    <row r="146">
      <c r="AR146" t="n">
        <v>178</v>
      </c>
      <c r="AS146" t="n">
        <v>100</v>
      </c>
      <c r="AU146" t="n">
        <v>144</v>
      </c>
      <c r="AV146" t="n">
        <v>-9</v>
      </c>
      <c r="AW146" t="n">
        <v>-5</v>
      </c>
    </row>
    <row r="147">
      <c r="AU147" t="n">
        <v>145</v>
      </c>
      <c r="AV147" t="n">
        <v>-9</v>
      </c>
      <c r="AW147" t="n">
        <v>-5</v>
      </c>
    </row>
    <row r="148">
      <c r="AU148" t="n">
        <v>146</v>
      </c>
      <c r="AV148" t="n">
        <v>-9</v>
      </c>
      <c r="AW148" t="n">
        <v>-5</v>
      </c>
    </row>
    <row r="149">
      <c r="AU149" t="n">
        <v>147</v>
      </c>
      <c r="AV149" t="n">
        <v>-10</v>
      </c>
      <c r="AW149" t="n">
        <v>-6</v>
      </c>
    </row>
    <row r="150">
      <c r="AU150" t="n">
        <v>148</v>
      </c>
      <c r="AV150" t="n">
        <v>-10</v>
      </c>
      <c r="AW150" t="n">
        <v>-6</v>
      </c>
    </row>
    <row r="151">
      <c r="AU151" t="n">
        <v>149</v>
      </c>
      <c r="AV151" t="n">
        <v>-11</v>
      </c>
      <c r="AW151" t="n">
        <v>-6</v>
      </c>
    </row>
    <row r="152">
      <c r="AU152" t="n">
        <v>150</v>
      </c>
      <c r="AV152" t="n">
        <v>-11</v>
      </c>
      <c r="AW152" t="n">
        <v>-6</v>
      </c>
    </row>
    <row r="153">
      <c r="AU153" t="n">
        <v>151</v>
      </c>
      <c r="AV153" t="n">
        <v>-11</v>
      </c>
      <c r="AW153" t="n">
        <v>-6</v>
      </c>
    </row>
    <row r="154">
      <c r="AU154" t="n">
        <v>152</v>
      </c>
      <c r="AV154" t="n">
        <v>-12</v>
      </c>
      <c r="AW154" t="n">
        <v>-7</v>
      </c>
    </row>
    <row r="155">
      <c r="AU155" t="n">
        <v>153</v>
      </c>
      <c r="AV155" t="n">
        <v>-12</v>
      </c>
      <c r="AW155" t="n">
        <v>-7</v>
      </c>
    </row>
    <row r="156">
      <c r="AU156" t="n">
        <v>154</v>
      </c>
      <c r="AV156" t="n">
        <v>-13</v>
      </c>
      <c r="AW156" t="n">
        <v>-7</v>
      </c>
    </row>
    <row r="157">
      <c r="AU157" t="n">
        <v>155</v>
      </c>
      <c r="AV157" t="n">
        <v>-13</v>
      </c>
      <c r="AW157" t="n">
        <v>-7</v>
      </c>
    </row>
    <row r="158">
      <c r="AU158" t="n">
        <v>156</v>
      </c>
      <c r="AV158" t="n">
        <v>-13</v>
      </c>
      <c r="AW158" t="n">
        <v>-7</v>
      </c>
    </row>
    <row r="159">
      <c r="AU159" t="n">
        <v>157</v>
      </c>
      <c r="AV159" t="n">
        <v>-14</v>
      </c>
      <c r="AW159" t="n">
        <v>-8</v>
      </c>
    </row>
    <row r="160">
      <c r="AU160" t="n">
        <v>158</v>
      </c>
      <c r="AV160" t="n">
        <v>-14</v>
      </c>
      <c r="AW160" t="n">
        <v>-8</v>
      </c>
    </row>
    <row r="161">
      <c r="AU161" t="n">
        <v>159</v>
      </c>
      <c r="AV161" t="n">
        <v>-15</v>
      </c>
      <c r="AW161" t="n">
        <v>-8</v>
      </c>
    </row>
    <row r="162">
      <c r="AU162" t="n">
        <v>160</v>
      </c>
      <c r="AV162" t="n">
        <v>-15</v>
      </c>
      <c r="AW162" t="n">
        <v>-8</v>
      </c>
    </row>
    <row r="163">
      <c r="AU163" t="n">
        <v>161</v>
      </c>
      <c r="AV163" t="n">
        <v>-15</v>
      </c>
      <c r="AW163" t="n">
        <v>-8</v>
      </c>
    </row>
    <row r="164">
      <c r="AU164" t="n">
        <v>162</v>
      </c>
      <c r="AV164" t="n">
        <v>-16</v>
      </c>
      <c r="AW164" t="n">
        <v>-9</v>
      </c>
    </row>
    <row r="165">
      <c r="AU165" t="n">
        <v>163</v>
      </c>
      <c r="AV165" t="n">
        <v>-16</v>
      </c>
      <c r="AW165" t="n">
        <v>-9</v>
      </c>
    </row>
    <row r="166">
      <c r="AU166" t="n">
        <v>164</v>
      </c>
      <c r="AV166" t="n">
        <v>-17</v>
      </c>
      <c r="AW166" t="n">
        <v>-9</v>
      </c>
    </row>
    <row r="167">
      <c r="AU167" t="n">
        <v>165</v>
      </c>
      <c r="AV167" t="n">
        <v>-17</v>
      </c>
      <c r="AW167" t="n">
        <v>-9</v>
      </c>
    </row>
    <row r="168">
      <c r="AU168" t="n">
        <v>166</v>
      </c>
      <c r="AV168" t="n">
        <v>-17</v>
      </c>
      <c r="AW168" t="n">
        <v>-9</v>
      </c>
    </row>
    <row r="169">
      <c r="AU169" t="n">
        <v>167</v>
      </c>
      <c r="AV169" t="n">
        <v>-18</v>
      </c>
      <c r="AW169" t="n">
        <v>-10</v>
      </c>
    </row>
    <row r="170">
      <c r="AU170" t="n">
        <v>168</v>
      </c>
      <c r="AV170" t="n">
        <v>-18</v>
      </c>
      <c r="AW170" t="n">
        <v>-10</v>
      </c>
    </row>
    <row r="171">
      <c r="AU171" t="n">
        <v>169</v>
      </c>
      <c r="AV171" t="n">
        <v>-19</v>
      </c>
      <c r="AW171" t="n">
        <v>-10</v>
      </c>
    </row>
    <row r="172">
      <c r="AU172" t="n">
        <v>170</v>
      </c>
      <c r="AV172" t="n">
        <v>-19</v>
      </c>
      <c r="AW172" t="n">
        <v>-10</v>
      </c>
    </row>
    <row r="173">
      <c r="AU173" t="n">
        <v>171</v>
      </c>
      <c r="AV173" t="n">
        <v>-19</v>
      </c>
      <c r="AW173" t="n">
        <v>-10</v>
      </c>
    </row>
    <row r="174">
      <c r="AU174" t="n">
        <v>172</v>
      </c>
      <c r="AV174" t="n">
        <v>-20</v>
      </c>
      <c r="AW174" t="n">
        <v>-11</v>
      </c>
    </row>
    <row r="175">
      <c r="AU175" t="n">
        <v>173</v>
      </c>
      <c r="AV175" t="n">
        <v>-20</v>
      </c>
      <c r="AW175" t="n">
        <v>-11</v>
      </c>
    </row>
    <row r="176">
      <c r="AU176" t="n">
        <v>174</v>
      </c>
      <c r="AV176" t="n">
        <v>-20</v>
      </c>
      <c r="AW176" t="n">
        <v>-11</v>
      </c>
    </row>
    <row r="177">
      <c r="AU177" t="n">
        <v>175</v>
      </c>
      <c r="AV177" t="n">
        <v>-20</v>
      </c>
      <c r="AW177" t="n">
        <v>-11</v>
      </c>
    </row>
    <row r="178">
      <c r="AU178" t="n">
        <v>176</v>
      </c>
      <c r="AV178" t="n">
        <v>-20</v>
      </c>
      <c r="AW178" t="n">
        <v>-11</v>
      </c>
    </row>
    <row r="179">
      <c r="AU179" t="n">
        <v>177</v>
      </c>
      <c r="AV179" t="n">
        <v>-20</v>
      </c>
      <c r="AW179" t="n">
        <v>-11</v>
      </c>
    </row>
    <row r="180">
      <c r="AU180" t="n">
        <v>178</v>
      </c>
      <c r="AV180" t="n">
        <v>-20</v>
      </c>
      <c r="AW180" t="n">
        <v>-11</v>
      </c>
    </row>
    <row r="181">
      <c r="AU181" t="n">
        <v>179</v>
      </c>
      <c r="AV181" t="n">
        <v>-20</v>
      </c>
      <c r="AW181" t="n">
        <v>-11</v>
      </c>
    </row>
    <row r="182">
      <c r="AU182" t="n">
        <v>180</v>
      </c>
      <c r="AV182" t="n">
        <v>-20</v>
      </c>
      <c r="AW182" t="n">
        <v>-11</v>
      </c>
    </row>
    <row r="183">
      <c r="AU183" t="n">
        <v>181</v>
      </c>
      <c r="AV183" t="n">
        <v>-20</v>
      </c>
      <c r="AW183" t="n">
        <v>-11</v>
      </c>
    </row>
    <row r="184">
      <c r="AU184" t="n">
        <v>182</v>
      </c>
      <c r="AV184" t="n">
        <v>-20</v>
      </c>
      <c r="AW184" t="n">
        <v>-11</v>
      </c>
    </row>
    <row r="185">
      <c r="AU185" t="n">
        <v>183</v>
      </c>
      <c r="AV185" t="n">
        <v>-20</v>
      </c>
      <c r="AW185" t="n">
        <v>-11</v>
      </c>
    </row>
    <row r="186">
      <c r="AU186" t="n">
        <v>184</v>
      </c>
      <c r="AV186" t="n">
        <v>-20</v>
      </c>
      <c r="AW186" t="n">
        <v>-11</v>
      </c>
    </row>
    <row r="187">
      <c r="AU187" t="n">
        <v>185</v>
      </c>
      <c r="AV187" t="n">
        <v>-20</v>
      </c>
      <c r="AW187" t="n">
        <v>-11</v>
      </c>
    </row>
    <row r="188">
      <c r="AU188" t="n">
        <v>186</v>
      </c>
      <c r="AV188" t="n">
        <v>-20</v>
      </c>
      <c r="AW188" t="n">
        <v>-11</v>
      </c>
    </row>
    <row r="189">
      <c r="AU189" t="n">
        <v>187</v>
      </c>
      <c r="AV189" t="n">
        <v>-20</v>
      </c>
      <c r="AW189" t="n">
        <v>-11</v>
      </c>
    </row>
    <row r="190">
      <c r="AU190" t="n">
        <v>188</v>
      </c>
      <c r="AV190" t="n">
        <v>-20</v>
      </c>
      <c r="AW190" t="n">
        <v>-11</v>
      </c>
    </row>
    <row r="191">
      <c r="AU191" t="n">
        <v>189</v>
      </c>
      <c r="AV191" t="n">
        <v>-20</v>
      </c>
      <c r="AW191" t="n">
        <v>-11</v>
      </c>
    </row>
    <row r="192">
      <c r="AU192" t="n">
        <v>190</v>
      </c>
      <c r="AV192" t="n">
        <v>-20</v>
      </c>
      <c r="AW192" t="n">
        <v>-11</v>
      </c>
    </row>
    <row r="193">
      <c r="AU193" t="n">
        <v>191</v>
      </c>
      <c r="AV193" t="n">
        <v>-20</v>
      </c>
      <c r="AW193" t="n">
        <v>-11</v>
      </c>
    </row>
    <row r="194">
      <c r="AU194" t="n">
        <v>192</v>
      </c>
      <c r="AV194" t="n">
        <v>-20</v>
      </c>
      <c r="AW194" t="n">
        <v>-11</v>
      </c>
    </row>
    <row r="195">
      <c r="AU195" t="n">
        <v>193</v>
      </c>
      <c r="AV195" t="n">
        <v>-20</v>
      </c>
      <c r="AW195" t="n">
        <v>-11</v>
      </c>
    </row>
    <row r="196">
      <c r="AU196" t="n">
        <v>194</v>
      </c>
      <c r="AV196" t="n">
        <v>-20</v>
      </c>
      <c r="AW196" t="n">
        <v>-11</v>
      </c>
    </row>
    <row r="197">
      <c r="AU197" t="n">
        <v>195</v>
      </c>
      <c r="AV197" t="n">
        <v>-20</v>
      </c>
      <c r="AW197" t="n">
        <v>-11</v>
      </c>
    </row>
    <row r="198">
      <c r="AU198" t="n">
        <v>196</v>
      </c>
      <c r="AV198" t="n">
        <v>-20</v>
      </c>
      <c r="AW198" t="n">
        <v>-11</v>
      </c>
    </row>
    <row r="199">
      <c r="AU199" t="n">
        <v>197</v>
      </c>
      <c r="AV199" t="n">
        <v>-20</v>
      </c>
      <c r="AW199" t="n">
        <v>-11</v>
      </c>
    </row>
    <row r="200">
      <c r="AU200" t="n">
        <v>198</v>
      </c>
      <c r="AV200" t="n">
        <v>-20</v>
      </c>
      <c r="AW200" t="n">
        <v>-11</v>
      </c>
    </row>
    <row r="201">
      <c r="AU201" t="n">
        <v>199</v>
      </c>
      <c r="AV201" t="n">
        <v>-20</v>
      </c>
      <c r="AW201" t="n">
        <v>-11</v>
      </c>
    </row>
  </sheetData>
  <conditionalFormatting sqref="J47:J73">
    <cfRule type="cellIs" priority="1" operator="greaterThanOrEqual" dxfId="0">
      <formula>85</formula>
    </cfRule>
    <cfRule type="cellIs" priority="2" operator="between" dxfId="1">
      <formula>75</formula>
      <formula>84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2026-07-22T10:49:07Z</dcterms:created>
  <dcterms:modified xsi:type="dcterms:W3CDTF">2026-07-22T10:49:07Z</dcterms:modified>
</cp:coreProperties>
</file>