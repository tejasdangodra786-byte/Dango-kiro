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CMI-III Scorin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F4E79"/>
      <sz val="16"/>
    </font>
    <font>
      <i val="1"/>
      <sz val="10"/>
    </font>
    <font>
      <name val="Calibri"/>
      <b val="1"/>
      <color rgb="001F4E79"/>
      <sz val="12"/>
    </font>
    <font>
      <name val="Calibri"/>
      <b val="1"/>
      <color rgb="00FFFFFF"/>
      <sz val="10"/>
    </font>
    <font>
      <b val="1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FFFFCC"/>
      </patternFill>
    </fill>
    <fill>
      <patternFill patternType="solid">
        <fgColor rgb="00D6E4F0"/>
      </patternFill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E8E8E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0" fontId="3" fillId="3" borderId="0" pivotButton="0" quotePrefix="0" xfId="0"/>
    <xf numFmtId="0" fontId="4" fillId="4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2" borderId="1" applyAlignment="1" pivotButton="0" quotePrefix="0" xfId="0">
      <alignment horizontal="center"/>
    </xf>
    <xf numFmtId="0" fontId="5" fillId="0" borderId="0" pivotButton="0" quotePrefix="0" xfId="0"/>
    <xf numFmtId="0" fontId="0" fillId="5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/>
    </xf>
    <xf numFmtId="0" fontId="0" fillId="0" borderId="1" pivotButton="0" quotePrefix="0" xfId="0"/>
    <xf numFmtId="0" fontId="5" fillId="5" borderId="1" applyAlignment="1" pivotButton="0" quotePrefix="0" xfId="0">
      <alignment horizontal="center"/>
    </xf>
    <xf numFmtId="0" fontId="0" fillId="6" borderId="1" applyAlignment="1" pivotButton="0" quotePrefix="0" xfId="0">
      <alignment horizontal="center"/>
    </xf>
    <xf numFmtId="0" fontId="6" fillId="5" borderId="1" applyAlignment="1" pivotButton="0" quotePrefix="0" xfId="0">
      <alignment horizontal="center"/>
    </xf>
    <xf numFmtId="0" fontId="6" fillId="0" borderId="0" pivotButton="0" quotePrefix="0" xfId="0"/>
  </cellXfs>
  <cellStyles count="1">
    <cellStyle name="Normal" xfId="0" builtinId="0" hidden="0"/>
  </cellStyles>
  <dxfs count="3">
    <dxf>
      <font>
        <b val="1"/>
        <color rgb="009C0006"/>
      </font>
      <fill>
        <patternFill patternType="solid">
          <fgColor rgb="00FFC7CE"/>
        </patternFill>
      </fill>
    </dxf>
    <dxf>
      <font>
        <b val="1"/>
        <color rgb="009C6500"/>
      </font>
      <fill>
        <patternFill patternType="solid">
          <fgColor rgb="00FFEB9C"/>
        </patternFill>
      </fill>
    </dxf>
    <dxf>
      <font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1"/>
  <sheetViews>
    <sheetView workbookViewId="0">
      <selection activeCell="A1" sqref="A1"/>
    </sheetView>
  </sheetViews>
  <sheetFormatPr baseColWidth="8" defaultRowHeight="15"/>
  <cols>
    <col width="8" customWidth="1" min="1" max="1"/>
    <col width="26" customWidth="1" min="2" max="2"/>
    <col width="18" customWidth="1" min="3" max="3"/>
    <col width="10" customWidth="1" min="4" max="4"/>
    <col width="12" customWidth="1" min="5" max="5"/>
    <col width="10" customWidth="1" min="6" max="6"/>
    <col width="9" customWidth="1" min="7" max="7"/>
    <col width="10" customWidth="1" min="8" max="8"/>
    <col width="10" customWidth="1" min="9" max="9"/>
    <col width="11" customWidth="1" min="10" max="10"/>
    <col width="14" customWidth="1" min="11" max="11"/>
    <col width="5" customWidth="1" min="12" max="12"/>
    <col width="8" customWidth="1" min="13" max="13"/>
    <col width="8" customWidth="1" min="14" max="14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</cols>
  <sheetData>
    <row r="1">
      <c r="A1" s="1" t="inlineStr">
        <is>
          <t>MCMI-III COMPLETE SCORING TOOL</t>
        </is>
      </c>
      <c r="P1" t="inlineStr">
        <is>
          <t>X_Raw</t>
        </is>
      </c>
      <c r="Q1" t="inlineStr">
        <is>
          <t>1-8B_Adj</t>
        </is>
      </c>
      <c r="R1" t="inlineStr">
        <is>
          <t>S-PP_Adj</t>
        </is>
      </c>
      <c r="S1" t="inlineStr">
        <is>
          <t>AD_Val</t>
        </is>
      </c>
      <c r="T1" t="inlineStr">
        <is>
          <t>2A_S_Adj</t>
        </is>
      </c>
      <c r="U1" t="inlineStr">
        <is>
          <t>AD_Val2</t>
        </is>
      </c>
      <c r="V1" t="inlineStr">
        <is>
          <t>2B_8B_C_Adj</t>
        </is>
      </c>
    </row>
    <row r="2">
      <c r="A2" s="2" t="inlineStr">
        <is>
          <t>Enter item responses below (1=TRUE, 0=FALSE), then enter BR scores in scoring table</t>
        </is>
      </c>
      <c r="P2" t="n">
        <v>0</v>
      </c>
      <c r="Q2" t="n">
        <v>20</v>
      </c>
      <c r="R2" t="n">
        <v>10</v>
      </c>
      <c r="S2" t="n">
        <v>0</v>
      </c>
      <c r="T2" t="n">
        <v>-1</v>
      </c>
      <c r="U2" t="n">
        <v>0</v>
      </c>
      <c r="V2" t="n">
        <v>-1</v>
      </c>
    </row>
    <row r="3">
      <c r="P3" t="n">
        <v>1</v>
      </c>
      <c r="Q3" t="n">
        <v>20</v>
      </c>
      <c r="R3" t="n">
        <v>10</v>
      </c>
      <c r="S3" t="n">
        <v>1</v>
      </c>
      <c r="T3" t="n">
        <v>-1</v>
      </c>
      <c r="U3" t="n">
        <v>1</v>
      </c>
      <c r="V3" t="n">
        <v>-1</v>
      </c>
    </row>
    <row r="4">
      <c r="A4" t="inlineStr">
        <is>
          <t>Patient Name:</t>
        </is>
      </c>
      <c r="B4" s="3" t="n"/>
      <c r="C4" t="inlineStr">
        <is>
          <t>Date:</t>
        </is>
      </c>
      <c r="D4" s="3" t="n"/>
      <c r="E4" t="inlineStr">
        <is>
          <t>Age:</t>
        </is>
      </c>
      <c r="F4" s="3" t="n"/>
      <c r="P4" t="n">
        <v>2</v>
      </c>
      <c r="Q4" t="n">
        <v>20</v>
      </c>
      <c r="R4" t="n">
        <v>10</v>
      </c>
      <c r="S4" t="n">
        <v>2</v>
      </c>
      <c r="T4" t="n">
        <v>-1</v>
      </c>
      <c r="U4" t="n">
        <v>2</v>
      </c>
      <c r="V4" t="n">
        <v>-1</v>
      </c>
    </row>
    <row r="5">
      <c r="A5" t="inlineStr">
        <is>
          <t>Gender (M/F):</t>
        </is>
      </c>
      <c r="B5" s="3" t="n"/>
      <c r="C5" t="inlineStr">
        <is>
          <t>Setting:</t>
        </is>
      </c>
      <c r="D5" s="3" t="n"/>
      <c r="E5" t="inlineStr">
        <is>
          <t>Examiner:</t>
        </is>
      </c>
      <c r="F5" s="3" t="n"/>
      <c r="P5" t="n">
        <v>3</v>
      </c>
      <c r="Q5" t="n">
        <v>20</v>
      </c>
      <c r="R5" t="n">
        <v>10</v>
      </c>
      <c r="S5" t="n">
        <v>3</v>
      </c>
      <c r="T5" t="n">
        <v>-1</v>
      </c>
      <c r="U5" t="n">
        <v>3</v>
      </c>
      <c r="V5" t="n">
        <v>-1</v>
      </c>
    </row>
    <row r="6">
      <c r="A6" t="inlineStr">
        <is>
          <t>Inpatient? (Y/N):</t>
        </is>
      </c>
      <c r="B6" s="3" t="n"/>
      <c r="C6" t="inlineStr">
        <is>
          <t>Axis I Duration (weeks):</t>
        </is>
      </c>
      <c r="D6" s="3" t="n"/>
      <c r="P6" t="n">
        <v>4</v>
      </c>
      <c r="Q6" t="n">
        <v>20</v>
      </c>
      <c r="R6" t="n">
        <v>10</v>
      </c>
      <c r="S6" t="n">
        <v>4</v>
      </c>
      <c r="T6" t="n">
        <v>-1</v>
      </c>
      <c r="U6" t="n">
        <v>4</v>
      </c>
      <c r="V6" t="n">
        <v>-1</v>
      </c>
    </row>
    <row r="7">
      <c r="P7" t="n">
        <v>5</v>
      </c>
      <c r="Q7" t="n">
        <v>20</v>
      </c>
      <c r="R7" t="n">
        <v>10</v>
      </c>
      <c r="S7" t="n">
        <v>5</v>
      </c>
      <c r="T7" t="n">
        <v>-1</v>
      </c>
      <c r="U7" t="n">
        <v>5</v>
      </c>
      <c r="V7" t="n">
        <v>-1</v>
      </c>
    </row>
    <row r="8">
      <c r="A8" s="4" t="inlineStr">
        <is>
          <t>ITEM RESPONSES - Enter 1 (True) or 0 (False)</t>
        </is>
      </c>
      <c r="P8" t="n">
        <v>6</v>
      </c>
      <c r="Q8" t="n">
        <v>20</v>
      </c>
      <c r="R8" t="n">
        <v>10</v>
      </c>
      <c r="S8" t="n">
        <v>6</v>
      </c>
      <c r="T8" t="n">
        <v>-1</v>
      </c>
      <c r="U8" t="n">
        <v>6</v>
      </c>
      <c r="V8" t="n">
        <v>-1</v>
      </c>
    </row>
    <row r="9">
      <c r="A9" s="5" t="inlineStr">
        <is>
          <t>Item#</t>
        </is>
      </c>
      <c r="B9" s="5" t="inlineStr">
        <is>
          <t>Resp</t>
        </is>
      </c>
      <c r="D9" s="5" t="inlineStr">
        <is>
          <t>Item#</t>
        </is>
      </c>
      <c r="E9" s="5" t="inlineStr">
        <is>
          <t>Resp</t>
        </is>
      </c>
      <c r="G9" s="5" t="inlineStr">
        <is>
          <t>Item#</t>
        </is>
      </c>
      <c r="H9" s="5" t="inlineStr">
        <is>
          <t>Resp</t>
        </is>
      </c>
      <c r="J9" s="5" t="inlineStr">
        <is>
          <t>Item#</t>
        </is>
      </c>
      <c r="K9" s="5" t="inlineStr">
        <is>
          <t>Resp</t>
        </is>
      </c>
      <c r="M9" s="5" t="inlineStr">
        <is>
          <t>Item#</t>
        </is>
      </c>
      <c r="N9" s="5" t="inlineStr">
        <is>
          <t>Resp</t>
        </is>
      </c>
      <c r="P9" t="n">
        <v>7</v>
      </c>
      <c r="Q9" t="n">
        <v>20</v>
      </c>
      <c r="R9" t="n">
        <v>10</v>
      </c>
      <c r="S9" t="n">
        <v>7</v>
      </c>
      <c r="T9" t="n">
        <v>-1</v>
      </c>
      <c r="U9" t="n">
        <v>7</v>
      </c>
      <c r="V9" t="n">
        <v>-1</v>
      </c>
    </row>
    <row r="10">
      <c r="A10" s="6" t="n">
        <v>1</v>
      </c>
      <c r="B10" s="7" t="n"/>
      <c r="D10" s="6" t="n">
        <v>36</v>
      </c>
      <c r="E10" s="7" t="n"/>
      <c r="G10" s="6" t="n">
        <v>71</v>
      </c>
      <c r="H10" s="7" t="n"/>
      <c r="J10" s="6" t="n">
        <v>106</v>
      </c>
      <c r="K10" s="7" t="n"/>
      <c r="M10" s="6" t="n">
        <v>141</v>
      </c>
      <c r="N10" s="7" t="n"/>
      <c r="P10" t="n">
        <v>8</v>
      </c>
      <c r="Q10" t="n">
        <v>20</v>
      </c>
      <c r="R10" t="n">
        <v>10</v>
      </c>
      <c r="S10" t="n">
        <v>8</v>
      </c>
      <c r="T10" t="n">
        <v>-2</v>
      </c>
      <c r="U10" t="n">
        <v>8</v>
      </c>
      <c r="V10" t="n">
        <v>-1</v>
      </c>
    </row>
    <row r="11">
      <c r="A11" s="6" t="n">
        <v>2</v>
      </c>
      <c r="B11" s="7" t="n"/>
      <c r="D11" s="6" t="n">
        <v>37</v>
      </c>
      <c r="E11" s="7" t="n"/>
      <c r="G11" s="6" t="n">
        <v>72</v>
      </c>
      <c r="H11" s="7" t="n"/>
      <c r="J11" s="6" t="n">
        <v>107</v>
      </c>
      <c r="K11" s="7" t="n"/>
      <c r="M11" s="6" t="n">
        <v>142</v>
      </c>
      <c r="N11" s="7" t="n"/>
      <c r="P11" t="n">
        <v>9</v>
      </c>
      <c r="Q11" t="n">
        <v>20</v>
      </c>
      <c r="R11" t="n">
        <v>10</v>
      </c>
      <c r="S11" t="n">
        <v>9</v>
      </c>
      <c r="T11" t="n">
        <v>-2</v>
      </c>
      <c r="U11" t="n">
        <v>9</v>
      </c>
      <c r="V11" t="n">
        <v>-1</v>
      </c>
    </row>
    <row r="12">
      <c r="A12" s="6" t="n">
        <v>3</v>
      </c>
      <c r="B12" s="7" t="n"/>
      <c r="D12" s="6" t="n">
        <v>38</v>
      </c>
      <c r="E12" s="7" t="n"/>
      <c r="G12" s="6" t="n">
        <v>73</v>
      </c>
      <c r="H12" s="7" t="n"/>
      <c r="J12" s="6" t="n">
        <v>108</v>
      </c>
      <c r="K12" s="7" t="n"/>
      <c r="M12" s="6" t="n">
        <v>143</v>
      </c>
      <c r="N12" s="7" t="n"/>
      <c r="P12" t="n">
        <v>10</v>
      </c>
      <c r="Q12" t="n">
        <v>20</v>
      </c>
      <c r="R12" t="n">
        <v>10</v>
      </c>
      <c r="S12" t="n">
        <v>10</v>
      </c>
      <c r="T12" t="n">
        <v>-2</v>
      </c>
      <c r="U12" t="n">
        <v>10</v>
      </c>
      <c r="V12" t="n">
        <v>-2</v>
      </c>
    </row>
    <row r="13">
      <c r="A13" s="6" t="n">
        <v>4</v>
      </c>
      <c r="B13" s="7" t="n"/>
      <c r="D13" s="6" t="n">
        <v>39</v>
      </c>
      <c r="E13" s="7" t="n"/>
      <c r="G13" s="6" t="n">
        <v>74</v>
      </c>
      <c r="H13" s="7" t="n"/>
      <c r="J13" s="6" t="n">
        <v>109</v>
      </c>
      <c r="K13" s="7" t="n"/>
      <c r="M13" s="6" t="n">
        <v>144</v>
      </c>
      <c r="N13" s="7" t="n"/>
      <c r="P13" t="n">
        <v>11</v>
      </c>
      <c r="Q13" t="n">
        <v>20</v>
      </c>
      <c r="R13" t="n">
        <v>10</v>
      </c>
      <c r="S13" t="n">
        <v>11</v>
      </c>
      <c r="T13" t="n">
        <v>-2</v>
      </c>
      <c r="U13" t="n">
        <v>11</v>
      </c>
      <c r="V13" t="n">
        <v>-2</v>
      </c>
    </row>
    <row r="14">
      <c r="A14" s="6" t="n">
        <v>5</v>
      </c>
      <c r="B14" s="7" t="n"/>
      <c r="D14" s="6" t="n">
        <v>40</v>
      </c>
      <c r="E14" s="7" t="n"/>
      <c r="G14" s="6" t="n">
        <v>75</v>
      </c>
      <c r="H14" s="7" t="n"/>
      <c r="J14" s="6" t="n">
        <v>110</v>
      </c>
      <c r="K14" s="7" t="n"/>
      <c r="M14" s="6" t="n">
        <v>145</v>
      </c>
      <c r="N14" s="7" t="n"/>
      <c r="P14" t="n">
        <v>12</v>
      </c>
      <c r="Q14" t="n">
        <v>20</v>
      </c>
      <c r="R14" t="n">
        <v>10</v>
      </c>
      <c r="S14" t="n">
        <v>12</v>
      </c>
      <c r="T14" t="n">
        <v>-2</v>
      </c>
      <c r="U14" t="n">
        <v>12</v>
      </c>
      <c r="V14" t="n">
        <v>-2</v>
      </c>
    </row>
    <row r="15">
      <c r="A15" s="6" t="n">
        <v>6</v>
      </c>
      <c r="B15" s="7" t="n"/>
      <c r="D15" s="6" t="n">
        <v>41</v>
      </c>
      <c r="E15" s="7" t="n"/>
      <c r="G15" s="6" t="n">
        <v>76</v>
      </c>
      <c r="H15" s="7" t="n"/>
      <c r="J15" s="6" t="n">
        <v>111</v>
      </c>
      <c r="K15" s="7" t="n"/>
      <c r="M15" s="6" t="n">
        <v>146</v>
      </c>
      <c r="N15" s="7" t="n"/>
      <c r="P15" t="n">
        <v>13</v>
      </c>
      <c r="Q15" t="n">
        <v>20</v>
      </c>
      <c r="R15" t="n">
        <v>10</v>
      </c>
      <c r="S15" t="n">
        <v>13</v>
      </c>
      <c r="T15" t="n">
        <v>-2</v>
      </c>
      <c r="U15" t="n">
        <v>13</v>
      </c>
      <c r="V15" t="n">
        <v>-2</v>
      </c>
    </row>
    <row r="16">
      <c r="A16" s="6" t="n">
        <v>7</v>
      </c>
      <c r="B16" s="7" t="n"/>
      <c r="D16" s="6" t="n">
        <v>42</v>
      </c>
      <c r="E16" s="7" t="n"/>
      <c r="G16" s="6" t="n">
        <v>77</v>
      </c>
      <c r="H16" s="7" t="n"/>
      <c r="J16" s="6" t="n">
        <v>112</v>
      </c>
      <c r="K16" s="7" t="n"/>
      <c r="M16" s="6" t="n">
        <v>147</v>
      </c>
      <c r="N16" s="7" t="n"/>
      <c r="P16" t="n">
        <v>14</v>
      </c>
      <c r="Q16" t="n">
        <v>20</v>
      </c>
      <c r="R16" t="n">
        <v>10</v>
      </c>
      <c r="S16" t="n">
        <v>14</v>
      </c>
      <c r="T16" t="n">
        <v>-2</v>
      </c>
      <c r="U16" t="n">
        <v>14</v>
      </c>
      <c r="V16" t="n">
        <v>-2</v>
      </c>
    </row>
    <row r="17">
      <c r="A17" s="6" t="n">
        <v>8</v>
      </c>
      <c r="B17" s="7" t="n"/>
      <c r="D17" s="6" t="n">
        <v>43</v>
      </c>
      <c r="E17" s="7" t="n"/>
      <c r="G17" s="6" t="n">
        <v>78</v>
      </c>
      <c r="H17" s="7" t="n"/>
      <c r="J17" s="6" t="n">
        <v>113</v>
      </c>
      <c r="K17" s="7" t="n"/>
      <c r="M17" s="6" t="n">
        <v>148</v>
      </c>
      <c r="N17" s="7" t="n"/>
      <c r="P17" t="n">
        <v>15</v>
      </c>
      <c r="Q17" t="n">
        <v>20</v>
      </c>
      <c r="R17" t="n">
        <v>10</v>
      </c>
      <c r="S17" t="n">
        <v>15</v>
      </c>
      <c r="T17" t="n">
        <v>-2</v>
      </c>
      <c r="U17" t="n">
        <v>15</v>
      </c>
      <c r="V17" t="n">
        <v>-3</v>
      </c>
    </row>
    <row r="18">
      <c r="A18" s="6" t="n">
        <v>9</v>
      </c>
      <c r="B18" s="7" t="n"/>
      <c r="D18" s="6" t="n">
        <v>44</v>
      </c>
      <c r="E18" s="7" t="n"/>
      <c r="G18" s="6" t="n">
        <v>79</v>
      </c>
      <c r="H18" s="7" t="n"/>
      <c r="J18" s="6" t="n">
        <v>114</v>
      </c>
      <c r="K18" s="7" t="n"/>
      <c r="M18" s="6" t="n">
        <v>149</v>
      </c>
      <c r="N18" s="7" t="n"/>
      <c r="P18" t="n">
        <v>16</v>
      </c>
      <c r="Q18" t="n">
        <v>20</v>
      </c>
      <c r="R18" t="n">
        <v>10</v>
      </c>
      <c r="S18" t="n">
        <v>16</v>
      </c>
      <c r="T18" t="n">
        <v>-3</v>
      </c>
      <c r="U18" t="n">
        <v>16</v>
      </c>
      <c r="V18" t="n">
        <v>-3</v>
      </c>
    </row>
    <row r="19">
      <c r="A19" s="6" t="n">
        <v>10</v>
      </c>
      <c r="B19" s="7" t="n"/>
      <c r="D19" s="6" t="n">
        <v>45</v>
      </c>
      <c r="E19" s="7" t="n"/>
      <c r="G19" s="6" t="n">
        <v>80</v>
      </c>
      <c r="H19" s="7" t="n"/>
      <c r="J19" s="6" t="n">
        <v>115</v>
      </c>
      <c r="K19" s="7" t="n"/>
      <c r="M19" s="6" t="n">
        <v>150</v>
      </c>
      <c r="N19" s="7" t="n"/>
      <c r="P19" t="n">
        <v>17</v>
      </c>
      <c r="Q19" t="n">
        <v>20</v>
      </c>
      <c r="R19" t="n">
        <v>10</v>
      </c>
      <c r="S19" t="n">
        <v>17</v>
      </c>
      <c r="T19" t="n">
        <v>-3</v>
      </c>
      <c r="U19" t="n">
        <v>17</v>
      </c>
      <c r="V19" t="n">
        <v>-3</v>
      </c>
    </row>
    <row r="20">
      <c r="A20" s="6" t="n">
        <v>11</v>
      </c>
      <c r="B20" s="7" t="n"/>
      <c r="D20" s="6" t="n">
        <v>46</v>
      </c>
      <c r="E20" s="7" t="n"/>
      <c r="G20" s="6" t="n">
        <v>81</v>
      </c>
      <c r="H20" s="7" t="n"/>
      <c r="J20" s="6" t="n">
        <v>116</v>
      </c>
      <c r="K20" s="7" t="n"/>
      <c r="M20" s="6" t="n">
        <v>151</v>
      </c>
      <c r="N20" s="7" t="n"/>
      <c r="P20" t="n">
        <v>18</v>
      </c>
      <c r="Q20" t="n">
        <v>20</v>
      </c>
      <c r="R20" t="n">
        <v>10</v>
      </c>
      <c r="S20" t="n">
        <v>18</v>
      </c>
      <c r="T20" t="n">
        <v>-3</v>
      </c>
      <c r="U20" t="n">
        <v>18</v>
      </c>
      <c r="V20" t="n">
        <v>-3</v>
      </c>
    </row>
    <row r="21">
      <c r="A21" s="6" t="n">
        <v>12</v>
      </c>
      <c r="B21" s="7" t="n"/>
      <c r="D21" s="6" t="n">
        <v>47</v>
      </c>
      <c r="E21" s="7" t="n"/>
      <c r="G21" s="6" t="n">
        <v>82</v>
      </c>
      <c r="H21" s="7" t="n"/>
      <c r="J21" s="6" t="n">
        <v>117</v>
      </c>
      <c r="K21" s="7" t="n"/>
      <c r="M21" s="6" t="n">
        <v>152</v>
      </c>
      <c r="N21" s="7" t="n"/>
      <c r="P21" t="n">
        <v>19</v>
      </c>
      <c r="Q21" t="n">
        <v>20</v>
      </c>
      <c r="R21" t="n">
        <v>10</v>
      </c>
      <c r="S21" t="n">
        <v>19</v>
      </c>
      <c r="T21" t="n">
        <v>-3</v>
      </c>
      <c r="U21" t="n">
        <v>19</v>
      </c>
      <c r="V21" t="n">
        <v>-3</v>
      </c>
    </row>
    <row r="22">
      <c r="A22" s="6" t="n">
        <v>13</v>
      </c>
      <c r="B22" s="7" t="n"/>
      <c r="D22" s="6" t="n">
        <v>48</v>
      </c>
      <c r="E22" s="7" t="n"/>
      <c r="G22" s="6" t="n">
        <v>83</v>
      </c>
      <c r="H22" s="7" t="n"/>
      <c r="J22" s="6" t="n">
        <v>118</v>
      </c>
      <c r="K22" s="7" t="n"/>
      <c r="M22" s="6" t="n">
        <v>153</v>
      </c>
      <c r="N22" s="7" t="n"/>
      <c r="P22" t="n">
        <v>20</v>
      </c>
      <c r="Q22" t="n">
        <v>20</v>
      </c>
      <c r="R22" t="n">
        <v>10</v>
      </c>
      <c r="S22" t="n">
        <v>20</v>
      </c>
      <c r="T22" t="n">
        <v>-3</v>
      </c>
      <c r="U22" t="n">
        <v>20</v>
      </c>
      <c r="V22" t="n">
        <v>-4</v>
      </c>
    </row>
    <row r="23">
      <c r="A23" s="6" t="n">
        <v>14</v>
      </c>
      <c r="B23" s="7" t="n"/>
      <c r="D23" s="6" t="n">
        <v>49</v>
      </c>
      <c r="E23" s="7" t="n"/>
      <c r="G23" s="6" t="n">
        <v>84</v>
      </c>
      <c r="H23" s="7" t="n"/>
      <c r="J23" s="6" t="n">
        <v>119</v>
      </c>
      <c r="K23" s="7" t="n"/>
      <c r="M23" s="6" t="n">
        <v>154</v>
      </c>
      <c r="N23" s="7" t="n"/>
      <c r="P23" t="n">
        <v>21</v>
      </c>
      <c r="Q23" t="n">
        <v>20</v>
      </c>
      <c r="R23" t="n">
        <v>10</v>
      </c>
      <c r="S23" t="n">
        <v>21</v>
      </c>
      <c r="T23" t="n">
        <v>-3</v>
      </c>
      <c r="U23" t="n">
        <v>21</v>
      </c>
      <c r="V23" t="n">
        <v>-4</v>
      </c>
    </row>
    <row r="24">
      <c r="A24" s="6" t="n">
        <v>15</v>
      </c>
      <c r="B24" s="7" t="n"/>
      <c r="D24" s="6" t="n">
        <v>50</v>
      </c>
      <c r="E24" s="7" t="n"/>
      <c r="G24" s="6" t="n">
        <v>85</v>
      </c>
      <c r="H24" s="7" t="n"/>
      <c r="J24" s="6" t="n">
        <v>120</v>
      </c>
      <c r="K24" s="7" t="n"/>
      <c r="M24" s="6" t="n">
        <v>155</v>
      </c>
      <c r="N24" s="7" t="n"/>
      <c r="P24" t="n">
        <v>22</v>
      </c>
      <c r="Q24" t="n">
        <v>20</v>
      </c>
      <c r="R24" t="n">
        <v>10</v>
      </c>
      <c r="S24" t="n">
        <v>22</v>
      </c>
      <c r="T24" t="n">
        <v>-3</v>
      </c>
      <c r="U24" t="n">
        <v>22</v>
      </c>
      <c r="V24" t="n">
        <v>-4</v>
      </c>
    </row>
    <row r="25">
      <c r="A25" s="6" t="n">
        <v>16</v>
      </c>
      <c r="B25" s="7" t="n"/>
      <c r="D25" s="6" t="n">
        <v>51</v>
      </c>
      <c r="E25" s="7" t="n"/>
      <c r="G25" s="6" t="n">
        <v>86</v>
      </c>
      <c r="H25" s="7" t="n"/>
      <c r="J25" s="6" t="n">
        <v>121</v>
      </c>
      <c r="K25" s="7" t="n"/>
      <c r="M25" s="6" t="n">
        <v>156</v>
      </c>
      <c r="N25" s="7" t="n"/>
      <c r="P25" t="n">
        <v>23</v>
      </c>
      <c r="Q25" t="n">
        <v>20</v>
      </c>
      <c r="R25" t="n">
        <v>10</v>
      </c>
      <c r="S25" t="n">
        <v>23</v>
      </c>
      <c r="T25" t="n">
        <v>-3</v>
      </c>
      <c r="U25" t="n">
        <v>23</v>
      </c>
      <c r="V25" t="n">
        <v>-4</v>
      </c>
    </row>
    <row r="26">
      <c r="A26" s="6" t="n">
        <v>17</v>
      </c>
      <c r="B26" s="7" t="n"/>
      <c r="D26" s="6" t="n">
        <v>52</v>
      </c>
      <c r="E26" s="7" t="n"/>
      <c r="G26" s="6" t="n">
        <v>87</v>
      </c>
      <c r="H26" s="7" t="n"/>
      <c r="J26" s="6" t="n">
        <v>122</v>
      </c>
      <c r="K26" s="7" t="n"/>
      <c r="M26" s="6" t="n">
        <v>157</v>
      </c>
      <c r="N26" s="7" t="n"/>
      <c r="P26" t="n">
        <v>24</v>
      </c>
      <c r="Q26" t="n">
        <v>20</v>
      </c>
      <c r="R26" t="n">
        <v>10</v>
      </c>
      <c r="S26" t="n">
        <v>24</v>
      </c>
      <c r="T26" t="n">
        <v>-4</v>
      </c>
      <c r="U26" t="n">
        <v>24</v>
      </c>
      <c r="V26" t="n">
        <v>-4</v>
      </c>
    </row>
    <row r="27">
      <c r="A27" s="6" t="n">
        <v>18</v>
      </c>
      <c r="B27" s="7" t="n"/>
      <c r="D27" s="6" t="n">
        <v>53</v>
      </c>
      <c r="E27" s="7" t="n"/>
      <c r="G27" s="6" t="n">
        <v>88</v>
      </c>
      <c r="H27" s="7" t="n"/>
      <c r="J27" s="6" t="n">
        <v>123</v>
      </c>
      <c r="K27" s="7" t="n"/>
      <c r="M27" s="6" t="n">
        <v>158</v>
      </c>
      <c r="N27" s="7" t="n"/>
      <c r="P27" t="n">
        <v>25</v>
      </c>
      <c r="Q27" t="n">
        <v>20</v>
      </c>
      <c r="R27" t="n">
        <v>10</v>
      </c>
      <c r="S27" t="n">
        <v>25</v>
      </c>
      <c r="T27" t="n">
        <v>-4</v>
      </c>
      <c r="U27" t="n">
        <v>25</v>
      </c>
      <c r="V27" t="n">
        <v>-5</v>
      </c>
    </row>
    <row r="28">
      <c r="A28" s="6" t="n">
        <v>19</v>
      </c>
      <c r="B28" s="7" t="n"/>
      <c r="D28" s="6" t="n">
        <v>54</v>
      </c>
      <c r="E28" s="7" t="n"/>
      <c r="G28" s="6" t="n">
        <v>89</v>
      </c>
      <c r="H28" s="7" t="n"/>
      <c r="J28" s="6" t="n">
        <v>124</v>
      </c>
      <c r="K28" s="7" t="n"/>
      <c r="M28" s="6" t="n">
        <v>159</v>
      </c>
      <c r="N28" s="7" t="n"/>
      <c r="P28" t="n">
        <v>26</v>
      </c>
      <c r="Q28" t="n">
        <v>20</v>
      </c>
      <c r="R28" t="n">
        <v>10</v>
      </c>
      <c r="S28" t="n">
        <v>26</v>
      </c>
      <c r="T28" t="n">
        <v>-4</v>
      </c>
      <c r="U28" t="n">
        <v>26</v>
      </c>
      <c r="V28" t="n">
        <v>-5</v>
      </c>
    </row>
    <row r="29">
      <c r="A29" s="6" t="n">
        <v>20</v>
      </c>
      <c r="B29" s="7" t="n"/>
      <c r="D29" s="6" t="n">
        <v>55</v>
      </c>
      <c r="E29" s="7" t="n"/>
      <c r="G29" s="6" t="n">
        <v>90</v>
      </c>
      <c r="H29" s="7" t="n"/>
      <c r="J29" s="6" t="n">
        <v>125</v>
      </c>
      <c r="K29" s="7" t="n"/>
      <c r="M29" s="6" t="n">
        <v>160</v>
      </c>
      <c r="N29" s="7" t="n"/>
      <c r="P29" t="n">
        <v>27</v>
      </c>
      <c r="Q29" t="n">
        <v>20</v>
      </c>
      <c r="R29" t="n">
        <v>10</v>
      </c>
      <c r="S29" t="n">
        <v>27</v>
      </c>
      <c r="T29" t="n">
        <v>-4</v>
      </c>
      <c r="U29" t="n">
        <v>27</v>
      </c>
      <c r="V29" t="n">
        <v>-5</v>
      </c>
    </row>
    <row r="30">
      <c r="A30" s="6" t="n">
        <v>21</v>
      </c>
      <c r="B30" s="7" t="n"/>
      <c r="D30" s="6" t="n">
        <v>56</v>
      </c>
      <c r="E30" s="7" t="n"/>
      <c r="G30" s="6" t="n">
        <v>91</v>
      </c>
      <c r="H30" s="7" t="n"/>
      <c r="J30" s="6" t="n">
        <v>126</v>
      </c>
      <c r="K30" s="7" t="n"/>
      <c r="M30" s="6" t="n">
        <v>161</v>
      </c>
      <c r="N30" s="7" t="n"/>
      <c r="P30" t="n">
        <v>28</v>
      </c>
      <c r="Q30" t="n">
        <v>20</v>
      </c>
      <c r="R30" t="n">
        <v>10</v>
      </c>
      <c r="S30" t="n">
        <v>28</v>
      </c>
      <c r="T30" t="n">
        <v>-4</v>
      </c>
      <c r="U30" t="n">
        <v>28</v>
      </c>
      <c r="V30" t="n">
        <v>-5</v>
      </c>
    </row>
    <row r="31">
      <c r="A31" s="6" t="n">
        <v>22</v>
      </c>
      <c r="B31" s="7" t="n"/>
      <c r="D31" s="6" t="n">
        <v>57</v>
      </c>
      <c r="E31" s="7" t="n"/>
      <c r="G31" s="6" t="n">
        <v>92</v>
      </c>
      <c r="H31" s="7" t="n"/>
      <c r="J31" s="6" t="n">
        <v>127</v>
      </c>
      <c r="K31" s="7" t="n"/>
      <c r="M31" s="6" t="n">
        <v>162</v>
      </c>
      <c r="N31" s="7" t="n"/>
      <c r="P31" t="n">
        <v>29</v>
      </c>
      <c r="Q31" t="n">
        <v>20</v>
      </c>
      <c r="R31" t="n">
        <v>10</v>
      </c>
      <c r="S31" t="n">
        <v>29</v>
      </c>
      <c r="T31" t="n">
        <v>-4</v>
      </c>
      <c r="U31" t="n">
        <v>29</v>
      </c>
      <c r="V31" t="n">
        <v>-5</v>
      </c>
    </row>
    <row r="32">
      <c r="A32" s="6" t="n">
        <v>23</v>
      </c>
      <c r="B32" s="7" t="n"/>
      <c r="D32" s="6" t="n">
        <v>58</v>
      </c>
      <c r="E32" s="7" t="n"/>
      <c r="G32" s="6" t="n">
        <v>93</v>
      </c>
      <c r="H32" s="7" t="n"/>
      <c r="J32" s="6" t="n">
        <v>128</v>
      </c>
      <c r="K32" s="7" t="n"/>
      <c r="M32" s="6" t="n">
        <v>163</v>
      </c>
      <c r="N32" s="7" t="n"/>
      <c r="P32" t="n">
        <v>30</v>
      </c>
      <c r="Q32" t="n">
        <v>20</v>
      </c>
      <c r="R32" t="n">
        <v>10</v>
      </c>
      <c r="S32" t="n">
        <v>30</v>
      </c>
      <c r="T32" t="n">
        <v>-4</v>
      </c>
      <c r="U32" t="n">
        <v>30</v>
      </c>
      <c r="V32" t="n">
        <v>-6</v>
      </c>
    </row>
    <row r="33">
      <c r="A33" s="6" t="n">
        <v>24</v>
      </c>
      <c r="B33" s="7" t="n"/>
      <c r="D33" s="6" t="n">
        <v>59</v>
      </c>
      <c r="E33" s="7" t="n"/>
      <c r="G33" s="6" t="n">
        <v>94</v>
      </c>
      <c r="H33" s="7" t="n"/>
      <c r="J33" s="6" t="n">
        <v>129</v>
      </c>
      <c r="K33" s="7" t="n"/>
      <c r="M33" s="6" t="n">
        <v>164</v>
      </c>
      <c r="N33" s="7" t="n"/>
      <c r="P33" t="n">
        <v>31</v>
      </c>
      <c r="Q33" t="n">
        <v>20</v>
      </c>
      <c r="R33" t="n">
        <v>10</v>
      </c>
      <c r="S33" t="n">
        <v>31</v>
      </c>
      <c r="T33" t="n">
        <v>-4</v>
      </c>
      <c r="U33" t="n">
        <v>31</v>
      </c>
      <c r="V33" t="n">
        <v>-6</v>
      </c>
    </row>
    <row r="34">
      <c r="A34" s="6" t="n">
        <v>25</v>
      </c>
      <c r="B34" s="7" t="n"/>
      <c r="D34" s="6" t="n">
        <v>60</v>
      </c>
      <c r="E34" s="7" t="n"/>
      <c r="G34" s="6" t="n">
        <v>95</v>
      </c>
      <c r="H34" s="7" t="n"/>
      <c r="J34" s="6" t="n">
        <v>130</v>
      </c>
      <c r="K34" s="7" t="n"/>
      <c r="M34" s="6" t="n">
        <v>165</v>
      </c>
      <c r="N34" s="7" t="n"/>
      <c r="P34" t="n">
        <v>32</v>
      </c>
      <c r="Q34" t="n">
        <v>20</v>
      </c>
      <c r="R34" t="n">
        <v>10</v>
      </c>
      <c r="S34" t="n">
        <v>32</v>
      </c>
      <c r="T34" t="n">
        <v>-5</v>
      </c>
      <c r="U34" t="n">
        <v>32</v>
      </c>
      <c r="V34" t="n">
        <v>-6</v>
      </c>
    </row>
    <row r="35">
      <c r="A35" s="6" t="n">
        <v>26</v>
      </c>
      <c r="B35" s="7" t="n"/>
      <c r="D35" s="6" t="n">
        <v>61</v>
      </c>
      <c r="E35" s="7" t="n"/>
      <c r="G35" s="6" t="n">
        <v>96</v>
      </c>
      <c r="H35" s="7" t="n"/>
      <c r="J35" s="6" t="n">
        <v>131</v>
      </c>
      <c r="K35" s="7" t="n"/>
      <c r="M35" s="6" t="n">
        <v>166</v>
      </c>
      <c r="N35" s="7" t="n"/>
      <c r="P35" t="n">
        <v>33</v>
      </c>
      <c r="Q35" t="n">
        <v>20</v>
      </c>
      <c r="R35" t="n">
        <v>10</v>
      </c>
      <c r="S35" t="n">
        <v>33</v>
      </c>
      <c r="T35" t="n">
        <v>-5</v>
      </c>
      <c r="U35" t="n">
        <v>33</v>
      </c>
      <c r="V35" t="n">
        <v>-6</v>
      </c>
    </row>
    <row r="36">
      <c r="A36" s="6" t="n">
        <v>27</v>
      </c>
      <c r="B36" s="7" t="n"/>
      <c r="D36" s="6" t="n">
        <v>62</v>
      </c>
      <c r="E36" s="7" t="n"/>
      <c r="G36" s="6" t="n">
        <v>97</v>
      </c>
      <c r="H36" s="7" t="n"/>
      <c r="J36" s="6" t="n">
        <v>132</v>
      </c>
      <c r="K36" s="7" t="n"/>
      <c r="M36" s="6" t="n">
        <v>167</v>
      </c>
      <c r="N36" s="7" t="n"/>
      <c r="P36" t="n">
        <v>34</v>
      </c>
      <c r="Q36" t="n">
        <v>20</v>
      </c>
      <c r="R36" t="n">
        <v>10</v>
      </c>
      <c r="S36" t="n">
        <v>34</v>
      </c>
      <c r="T36" t="n">
        <v>-5</v>
      </c>
      <c r="U36" t="n">
        <v>34</v>
      </c>
      <c r="V36" t="n">
        <v>-6</v>
      </c>
    </row>
    <row r="37">
      <c r="A37" s="6" t="n">
        <v>28</v>
      </c>
      <c r="B37" s="7" t="n"/>
      <c r="D37" s="6" t="n">
        <v>63</v>
      </c>
      <c r="E37" s="7" t="n"/>
      <c r="G37" s="6" t="n">
        <v>98</v>
      </c>
      <c r="H37" s="7" t="n"/>
      <c r="J37" s="6" t="n">
        <v>133</v>
      </c>
      <c r="K37" s="7" t="n"/>
      <c r="M37" s="6" t="n">
        <v>168</v>
      </c>
      <c r="N37" s="7" t="n"/>
      <c r="P37" t="n">
        <v>35</v>
      </c>
      <c r="Q37" t="n">
        <v>20</v>
      </c>
      <c r="R37" t="n">
        <v>10</v>
      </c>
      <c r="S37" t="n">
        <v>35</v>
      </c>
      <c r="T37" t="n">
        <v>-5</v>
      </c>
      <c r="U37" t="n">
        <v>35</v>
      </c>
      <c r="V37" t="n">
        <v>-7</v>
      </c>
    </row>
    <row r="38">
      <c r="A38" s="6" t="n">
        <v>29</v>
      </c>
      <c r="B38" s="7" t="n"/>
      <c r="D38" s="6" t="n">
        <v>64</v>
      </c>
      <c r="E38" s="7" t="n"/>
      <c r="G38" s="6" t="n">
        <v>99</v>
      </c>
      <c r="H38" s="7" t="n"/>
      <c r="J38" s="6" t="n">
        <v>134</v>
      </c>
      <c r="K38" s="7" t="n"/>
      <c r="M38" s="6" t="n">
        <v>169</v>
      </c>
      <c r="N38" s="7" t="n"/>
      <c r="P38" t="n">
        <v>36</v>
      </c>
      <c r="Q38" t="n">
        <v>20</v>
      </c>
      <c r="R38" t="n">
        <v>10</v>
      </c>
      <c r="S38" t="n">
        <v>36</v>
      </c>
      <c r="T38" t="n">
        <v>-5</v>
      </c>
      <c r="U38" t="n">
        <v>36</v>
      </c>
      <c r="V38" t="n">
        <v>-7</v>
      </c>
    </row>
    <row r="39">
      <c r="A39" s="6" t="n">
        <v>30</v>
      </c>
      <c r="B39" s="7" t="n"/>
      <c r="D39" s="6" t="n">
        <v>65</v>
      </c>
      <c r="E39" s="7" t="n"/>
      <c r="G39" s="6" t="n">
        <v>100</v>
      </c>
      <c r="H39" s="7" t="n"/>
      <c r="J39" s="6" t="n">
        <v>135</v>
      </c>
      <c r="K39" s="7" t="n"/>
      <c r="M39" s="6" t="n">
        <v>170</v>
      </c>
      <c r="N39" s="7" t="n"/>
      <c r="P39" t="n">
        <v>37</v>
      </c>
      <c r="Q39" t="n">
        <v>19</v>
      </c>
      <c r="R39" t="n">
        <v>10</v>
      </c>
      <c r="S39" t="n">
        <v>37</v>
      </c>
      <c r="T39" t="n">
        <v>-5</v>
      </c>
      <c r="U39" t="n">
        <v>37</v>
      </c>
      <c r="V39" t="n">
        <v>-7</v>
      </c>
    </row>
    <row r="40">
      <c r="A40" s="6" t="n">
        <v>31</v>
      </c>
      <c r="B40" s="7" t="n"/>
      <c r="D40" s="6" t="n">
        <v>66</v>
      </c>
      <c r="E40" s="7" t="n"/>
      <c r="G40" s="6" t="n">
        <v>101</v>
      </c>
      <c r="H40" s="7" t="n"/>
      <c r="J40" s="6" t="n">
        <v>136</v>
      </c>
      <c r="K40" s="7" t="n"/>
      <c r="M40" s="6" t="n">
        <v>171</v>
      </c>
      <c r="N40" s="7" t="n"/>
      <c r="P40" t="n">
        <v>38</v>
      </c>
      <c r="Q40" t="n">
        <v>18</v>
      </c>
      <c r="R40" t="n">
        <v>10</v>
      </c>
      <c r="S40" t="n">
        <v>38</v>
      </c>
      <c r="T40" t="n">
        <v>-5</v>
      </c>
      <c r="U40" t="n">
        <v>38</v>
      </c>
      <c r="V40" t="n">
        <v>-7</v>
      </c>
    </row>
    <row r="41">
      <c r="A41" s="6" t="n">
        <v>32</v>
      </c>
      <c r="B41" s="7" t="n"/>
      <c r="D41" s="6" t="n">
        <v>67</v>
      </c>
      <c r="E41" s="7" t="n"/>
      <c r="G41" s="6" t="n">
        <v>102</v>
      </c>
      <c r="H41" s="7" t="n"/>
      <c r="J41" s="6" t="n">
        <v>137</v>
      </c>
      <c r="K41" s="7" t="n"/>
      <c r="M41" s="6" t="n">
        <v>172</v>
      </c>
      <c r="N41" s="7" t="n"/>
      <c r="P41" t="n">
        <v>39</v>
      </c>
      <c r="Q41" t="n">
        <v>17</v>
      </c>
      <c r="R41" t="n">
        <v>9</v>
      </c>
      <c r="S41" t="n">
        <v>39</v>
      </c>
      <c r="T41" t="n">
        <v>-5</v>
      </c>
      <c r="U41" t="n">
        <v>39</v>
      </c>
      <c r="V41" t="n">
        <v>-7</v>
      </c>
    </row>
    <row r="42">
      <c r="A42" s="6" t="n">
        <v>33</v>
      </c>
      <c r="B42" s="7" t="n"/>
      <c r="D42" s="6" t="n">
        <v>68</v>
      </c>
      <c r="E42" s="7" t="n"/>
      <c r="G42" s="6" t="n">
        <v>103</v>
      </c>
      <c r="H42" s="7" t="n"/>
      <c r="J42" s="6" t="n">
        <v>138</v>
      </c>
      <c r="K42" s="7" t="n"/>
      <c r="M42" s="6" t="n">
        <v>173</v>
      </c>
      <c r="N42" s="7" t="n"/>
      <c r="P42" t="n">
        <v>40</v>
      </c>
      <c r="Q42" t="n">
        <v>17</v>
      </c>
      <c r="R42" t="n">
        <v>9</v>
      </c>
      <c r="S42" t="n">
        <v>40</v>
      </c>
      <c r="T42" t="n">
        <v>-6</v>
      </c>
      <c r="U42" t="n">
        <v>40</v>
      </c>
      <c r="V42" t="n">
        <v>-8</v>
      </c>
    </row>
    <row r="43">
      <c r="A43" s="6" t="n">
        <v>34</v>
      </c>
      <c r="B43" s="7" t="n"/>
      <c r="D43" s="6" t="n">
        <v>69</v>
      </c>
      <c r="E43" s="7" t="n"/>
      <c r="G43" s="6" t="n">
        <v>104</v>
      </c>
      <c r="H43" s="7" t="n"/>
      <c r="J43" s="6" t="n">
        <v>139</v>
      </c>
      <c r="K43" s="7" t="n"/>
      <c r="M43" s="6" t="n">
        <v>174</v>
      </c>
      <c r="N43" s="7" t="n"/>
      <c r="P43" t="n">
        <v>41</v>
      </c>
      <c r="Q43" t="n">
        <v>16</v>
      </c>
      <c r="R43" t="n">
        <v>9</v>
      </c>
      <c r="S43" t="n">
        <v>41</v>
      </c>
      <c r="T43" t="n">
        <v>-6</v>
      </c>
      <c r="U43" t="n">
        <v>41</v>
      </c>
      <c r="V43" t="n">
        <v>-8</v>
      </c>
    </row>
    <row r="44">
      <c r="A44" s="6" t="n">
        <v>35</v>
      </c>
      <c r="B44" s="7" t="n"/>
      <c r="D44" s="6" t="n">
        <v>70</v>
      </c>
      <c r="E44" s="7" t="n"/>
      <c r="G44" s="6" t="n">
        <v>105</v>
      </c>
      <c r="H44" s="7" t="n"/>
      <c r="J44" s="6" t="n">
        <v>140</v>
      </c>
      <c r="K44" s="7" t="n"/>
      <c r="M44" s="6" t="n">
        <v>175</v>
      </c>
      <c r="N44" s="7" t="n"/>
      <c r="P44" t="n">
        <v>42</v>
      </c>
      <c r="Q44" t="n">
        <v>15</v>
      </c>
      <c r="R44" t="n">
        <v>8</v>
      </c>
      <c r="S44" t="n">
        <v>42</v>
      </c>
      <c r="T44" t="n">
        <v>-6</v>
      </c>
      <c r="U44" t="n">
        <v>42</v>
      </c>
      <c r="V44" t="n">
        <v>-8</v>
      </c>
    </row>
    <row r="45">
      <c r="P45" t="n">
        <v>43</v>
      </c>
      <c r="Q45" t="n">
        <v>14</v>
      </c>
      <c r="R45" t="n">
        <v>8</v>
      </c>
      <c r="S45" t="n">
        <v>43</v>
      </c>
      <c r="T45" t="n">
        <v>-6</v>
      </c>
      <c r="U45" t="n">
        <v>43</v>
      </c>
      <c r="V45" t="n">
        <v>-8</v>
      </c>
    </row>
    <row r="46">
      <c r="P46" t="n">
        <v>44</v>
      </c>
      <c r="Q46" t="n">
        <v>13</v>
      </c>
      <c r="R46" t="n">
        <v>7</v>
      </c>
      <c r="S46" t="n">
        <v>44</v>
      </c>
      <c r="T46" t="n">
        <v>-6</v>
      </c>
      <c r="U46" t="n">
        <v>44</v>
      </c>
      <c r="V46" t="n">
        <v>-8</v>
      </c>
    </row>
    <row r="47">
      <c r="A47" s="4" t="inlineStr">
        <is>
          <t>SCORING TABLE</t>
        </is>
      </c>
      <c r="P47" t="n">
        <v>45</v>
      </c>
      <c r="Q47" t="n">
        <v>13</v>
      </c>
      <c r="R47" t="n">
        <v>7</v>
      </c>
      <c r="S47" t="n">
        <v>45</v>
      </c>
      <c r="T47" t="n">
        <v>-6</v>
      </c>
      <c r="U47" t="n">
        <v>45</v>
      </c>
      <c r="V47" t="n">
        <v>-9</v>
      </c>
    </row>
    <row r="48">
      <c r="A48" s="8" t="inlineStr">
        <is>
          <t>VALIDITY:</t>
        </is>
      </c>
      <c r="B48" t="inlineStr">
        <is>
          <t>V Score =</t>
        </is>
      </c>
      <c r="C48" s="9">
        <f>$E$39+$K$14+$N$26</f>
        <v/>
      </c>
      <c r="D48" s="8">
        <f>IF(C48&gt;1,"INVALID (V&gt;1)","Valid")</f>
        <v/>
      </c>
      <c r="F48" t="inlineStr">
        <is>
          <t>Scale X validity checked in scoring table below</t>
        </is>
      </c>
      <c r="P48" t="n">
        <v>46</v>
      </c>
      <c r="Q48" t="n">
        <v>12</v>
      </c>
      <c r="R48" t="n">
        <v>7</v>
      </c>
      <c r="S48" t="n">
        <v>46</v>
      </c>
      <c r="T48" t="n">
        <v>-6</v>
      </c>
      <c r="U48" t="n">
        <v>46</v>
      </c>
      <c r="V48" t="n">
        <v>-9</v>
      </c>
    </row>
    <row r="49">
      <c r="P49" t="n">
        <v>47</v>
      </c>
      <c r="Q49" t="n">
        <v>11</v>
      </c>
      <c r="R49" t="n">
        <v>6</v>
      </c>
      <c r="S49" t="n">
        <v>47</v>
      </c>
      <c r="T49" t="n">
        <v>-6</v>
      </c>
      <c r="U49" t="n">
        <v>47</v>
      </c>
      <c r="V49" t="n">
        <v>-9</v>
      </c>
    </row>
    <row r="50" ht="40" customHeight="1">
      <c r="A50" s="10" t="inlineStr">
        <is>
          <t>Scale</t>
        </is>
      </c>
      <c r="B50" s="10" t="inlineStr">
        <is>
          <t>Name</t>
        </is>
      </c>
      <c r="C50" s="10" t="inlineStr">
        <is>
          <t>Category</t>
        </is>
      </c>
      <c r="D50" s="10" t="inlineStr">
        <is>
          <t>Raw Score
(auto)</t>
        </is>
      </c>
      <c r="E50" s="10" t="inlineStr">
        <is>
          <t>Initial BR
(ENTER from
Appendix C)</t>
        </is>
      </c>
      <c r="F50" s="10" t="inlineStr">
        <is>
          <t>Disclosure
Adj</t>
        </is>
      </c>
      <c r="G50" s="10" t="inlineStr">
        <is>
          <t>A/D Adj</t>
        </is>
      </c>
      <c r="H50" s="10" t="inlineStr">
        <is>
          <t>Inpatient
Adj</t>
        </is>
      </c>
      <c r="I50" s="10" t="inlineStr">
        <is>
          <t>Denial/
Complaint</t>
        </is>
      </c>
      <c r="J50" s="10" t="inlineStr">
        <is>
          <t>FINAL BR</t>
        </is>
      </c>
      <c r="K50" s="10" t="inlineStr">
        <is>
          <t>Significance</t>
        </is>
      </c>
      <c r="P50" t="n">
        <v>48</v>
      </c>
      <c r="Q50" t="n">
        <v>10</v>
      </c>
      <c r="R50" t="n">
        <v>6</v>
      </c>
      <c r="S50" t="n">
        <v>48</v>
      </c>
      <c r="T50" t="n">
        <v>-7</v>
      </c>
      <c r="U50" t="n">
        <v>48</v>
      </c>
      <c r="V50" t="n">
        <v>-9</v>
      </c>
    </row>
    <row r="51">
      <c r="A51" s="11" t="inlineStr">
        <is>
          <t>X</t>
        </is>
      </c>
      <c r="B51" s="12" t="inlineStr">
        <is>
          <t>Disclosure</t>
        </is>
      </c>
      <c r="C51" s="12" t="inlineStr">
        <is>
          <t>Modifying Indices</t>
        </is>
      </c>
      <c r="D51" s="13">
        <f>$B$10+$B$13+$B$14+$B$15+$B$16+$B$19+$B$23+$B$24+$B$26+$B$30+$B$32+$B$33+$B$34+$B$36+$B$38+$B$39+$B$40+$B$41+$B$43+$B$44+$E$11+$E$13+$E$14+$E$16+$E$17+$E$18+$E$20+$E$22+$E$24+$E$25+$E$26+$E$27+$E$28+$E$29+$E$30+$E$32+$E$34+$E$35+$E$36+$E$37+$E$38+$E$40+$E$41+$E$43+$E$44+$H$10+$H$12+$H$13+$H$14+$H$15+$H$16+$H$18+$H$19+$H$20+$H$21+$H$22+$H$23+$H$24+$H$25+$H$26+$H$27+$H$28+$H$29+$H$30+$H$31+$H$32+$H$33+$H$34+$H$35+$H$36+$H$37+$H$38+$H$39+$H$40+$H$41+$H$42+$H$43+$K$10+$K$11+$K$12+$K$13+$K$15+$K$16+$K$17+$K$18+$K$19+$K$20+$K$21+$K$22+$K$23+$K$24+$K$25+$K$26+$K$27+$K$28+$K$29+$K$30+$K$31+$K$32+$K$33+$K$34+$K$35+$K$36+$K$37+$K$38+$K$39+$K$40+$K$41+$K$42+$K$43+$K$44+$N$10+$N$11+$N$12+$N$13+$N$14+$N$15+$N$16+$N$17+$N$18+$N$19+$N$20+$N$21+$N$22+$N$23+$N$24+$N$25+$N$27+$N$28+$N$29+$N$30+$N$31+$N$32+$N$33+$N$34+$N$35+$N$36+$N$37+$N$38+$N$39+$N$40+$N$41+$N$42+$N$43+$N$44</f>
        <v/>
      </c>
      <c r="E51" s="7" t="n"/>
      <c r="F51" s="14" t="n">
        <v>0</v>
      </c>
      <c r="G51" s="14" t="n">
        <v>0</v>
      </c>
      <c r="H51" s="14" t="n">
        <v>0</v>
      </c>
      <c r="I51" s="14" t="n">
        <v>0</v>
      </c>
      <c r="J51" s="15">
        <f>IF(E51="","",MIN(MAX(E51+F51+G51+H51+I51,0),115))</f>
        <v/>
      </c>
      <c r="K51" s="6">
        <f>IF(J51="","",IF(J51&gt;=85,"PROMINENT",IF(J51&gt;=75,"PRESENT",IF(J51&gt;=60,"Suggestive","Normal"))))</f>
        <v/>
      </c>
      <c r="P51" t="n">
        <v>49</v>
      </c>
      <c r="Q51" t="n">
        <v>9</v>
      </c>
      <c r="R51" t="n">
        <v>5</v>
      </c>
      <c r="S51" t="n">
        <v>49</v>
      </c>
      <c r="T51" t="n">
        <v>-7</v>
      </c>
      <c r="U51" t="n">
        <v>49</v>
      </c>
      <c r="V51" t="n">
        <v>-9</v>
      </c>
    </row>
    <row r="52">
      <c r="A52" s="11" t="inlineStr">
        <is>
          <t>Y</t>
        </is>
      </c>
      <c r="B52" s="12" t="inlineStr">
        <is>
          <t>Desirability</t>
        </is>
      </c>
      <c r="C52" s="12" t="inlineStr">
        <is>
          <t>Modifying Indices</t>
        </is>
      </c>
      <c r="D52" s="13">
        <f>$B$11+$B$17+$B$25+$E$10+$E$15+$E$31+$E$42+$H$17+$H$44+(1-$B$21)+(1-$B$42)+(1-$E$19)+(1-$E$21)+(1-$E$33)+(1-$H$11)+(1-$K$14)+(1-$N$26)</f>
        <v/>
      </c>
      <c r="E52" s="7" t="n"/>
      <c r="F52" s="14" t="n">
        <v>0</v>
      </c>
      <c r="G52" s="14" t="n">
        <v>0</v>
      </c>
      <c r="H52" s="14" t="n">
        <v>0</v>
      </c>
      <c r="I52" s="14" t="n">
        <v>0</v>
      </c>
      <c r="J52" s="15">
        <f>IF(E52="","",MIN(MAX(E52+F52+G52+H52+I52,0),115))</f>
        <v/>
      </c>
      <c r="K52" s="6">
        <f>IF(J52="","",IF(J52&gt;=85,"PROMINENT",IF(J52&gt;=75,"PRESENT",IF(J52&gt;=60,"Suggestive","Normal"))))</f>
        <v/>
      </c>
      <c r="P52" t="n">
        <v>50</v>
      </c>
      <c r="Q52" t="n">
        <v>9</v>
      </c>
      <c r="R52" t="n">
        <v>5</v>
      </c>
      <c r="S52" t="n">
        <v>50</v>
      </c>
      <c r="T52" t="n">
        <v>-7</v>
      </c>
      <c r="U52" t="n">
        <v>50</v>
      </c>
      <c r="V52" t="n">
        <v>-10</v>
      </c>
    </row>
    <row r="53">
      <c r="A53" s="11" t="inlineStr">
        <is>
          <t>Z</t>
        </is>
      </c>
      <c r="B53" s="12" t="inlineStr">
        <is>
          <t>Debasement</t>
        </is>
      </c>
      <c r="C53" s="12" t="inlineStr">
        <is>
          <t>Modifying Indices</t>
        </is>
      </c>
      <c r="D53" s="13">
        <f>$B$34+$B$40+$E$13+$E$24+$E$25+$E$27+$E$28+$E$30+$H$10+$H$21+$H$23+$H$25+$H$26+$H$28+$H$29+$H$33+$H$39+$H$43+$K$11+$K$17+$K$22+$K$25+$K$30+$K$35+$K$43+$N$14+$N$20+$N$27+$N$33+$N$41+$N$44</f>
        <v/>
      </c>
      <c r="E53" s="7" t="n"/>
      <c r="F53" s="14" t="n">
        <v>0</v>
      </c>
      <c r="G53" s="14" t="n">
        <v>0</v>
      </c>
      <c r="H53" s="14" t="n">
        <v>0</v>
      </c>
      <c r="I53" s="14" t="n">
        <v>0</v>
      </c>
      <c r="J53" s="15">
        <f>IF(E53="","",MIN(MAX(E53+F53+G53+H53+I53,0),115))</f>
        <v/>
      </c>
      <c r="K53" s="6">
        <f>IF(J53="","",IF(J53&gt;=85,"PROMINENT",IF(J53&gt;=75,"PRESENT",IF(J53&gt;=60,"Suggestive","Normal"))))</f>
        <v/>
      </c>
      <c r="P53" t="n">
        <v>51</v>
      </c>
      <c r="Q53" t="n">
        <v>8</v>
      </c>
      <c r="R53" t="n">
        <v>5</v>
      </c>
      <c r="S53" t="n">
        <v>51</v>
      </c>
      <c r="T53" t="n">
        <v>-7</v>
      </c>
      <c r="U53" t="n">
        <v>51</v>
      </c>
      <c r="V53" t="n">
        <v>-10</v>
      </c>
    </row>
    <row r="54">
      <c r="A54" s="11" t="inlineStr">
        <is>
          <t>1</t>
        </is>
      </c>
      <c r="B54" s="12" t="inlineStr">
        <is>
          <t>Schizoid</t>
        </is>
      </c>
      <c r="C54" s="12" t="inlineStr">
        <is>
          <t>Clinical Personality</t>
        </is>
      </c>
      <c r="D54" s="13">
        <f>$B$10+$B$23+$B$34+$E$14+$E$20+$E$29+$E$44+$H$20+$H$25+$H$31+$K$16+$K$22+$K$28+$K$34+$K$40+(1-$E$31)+(1-$H$17)+(1-$H$44)</f>
        <v/>
      </c>
      <c r="E54" s="7" t="n"/>
      <c r="F54" s="6">
        <f>IF(D51="",0,VLOOKUP(MIN(MAX(D51,0),199),P:Q,2,TRUE))</f>
        <v/>
      </c>
      <c r="G54" s="14" t="n">
        <v>0</v>
      </c>
      <c r="H54" s="14" t="n">
        <v>0</v>
      </c>
      <c r="I54" s="7" t="n">
        <v>0</v>
      </c>
      <c r="J54" s="15">
        <f>IF(E54="","",MIN(MAX(E54+F54+G54+H54+I54,0),115))</f>
        <v/>
      </c>
      <c r="K54" s="6">
        <f>IF(J54="","",IF(J54&gt;=85,"PROMINENT",IF(J54&gt;=75,"PRESENT",IF(J54&gt;=60,"Suggestive","Normal"))))</f>
        <v/>
      </c>
      <c r="P54" t="n">
        <v>52</v>
      </c>
      <c r="Q54" t="n">
        <v>7</v>
      </c>
      <c r="R54" t="n">
        <v>4</v>
      </c>
      <c r="S54" t="n">
        <v>52</v>
      </c>
      <c r="T54" t="n">
        <v>-7</v>
      </c>
      <c r="U54" t="n">
        <v>52</v>
      </c>
      <c r="V54" t="n">
        <v>-10</v>
      </c>
    </row>
    <row r="55">
      <c r="A55" s="11" t="inlineStr">
        <is>
          <t>2A</t>
        </is>
      </c>
      <c r="B55" s="12" t="inlineStr">
        <is>
          <t>Avoidant</t>
        </is>
      </c>
      <c r="C55" s="12" t="inlineStr">
        <is>
          <t>Clinical Personality</t>
        </is>
      </c>
      <c r="D55" s="13">
        <f>$B$10+$B$23+$B$34+$E$14+$E$20+$E$29+$E$36+$E$44+$H$20+$H$25+$H$31+$H$38+$K$11+$K$16+$K$22+$K$28+$K$34+$K$39+$N$10+$N$17+$N$23+$N$29+$N$35</f>
        <v/>
      </c>
      <c r="E55" s="7" t="n"/>
      <c r="F55" s="6">
        <f>IF(D51="",0,VLOOKUP(MIN(MAX(D51,0),199),P:Q,2,TRUE))</f>
        <v/>
      </c>
      <c r="G55" s="6">
        <f>IF(OR(E68="",E71=""),0,IF(AND((E68+F68)&lt;75,(E71+F71)&lt;75),0,VLOOKUP(MIN(MAX(IF((E68+F68)&gt;=75,(E68+F68)-75,0)+IF((E71+F71)&gt;=75,(E71+F71)-75,0),0),80),S:T,2,TRUE)))</f>
        <v/>
      </c>
      <c r="H55" s="14" t="n">
        <v>0</v>
      </c>
      <c r="I55" s="7" t="n">
        <v>0</v>
      </c>
      <c r="J55" s="15">
        <f>IF(E55="","",MIN(MAX(E55+F55+G55+H55+I55,0),115))</f>
        <v/>
      </c>
      <c r="K55" s="6">
        <f>IF(J55="","",IF(J55&gt;=85,"PROMINENT",IF(J55&gt;=75,"PRESENT",IF(J55&gt;=60,"Suggestive","Normal"))))</f>
        <v/>
      </c>
      <c r="P55" t="n">
        <v>53</v>
      </c>
      <c r="Q55" t="n">
        <v>6</v>
      </c>
      <c r="R55" t="n">
        <v>4</v>
      </c>
      <c r="S55" t="n">
        <v>53</v>
      </c>
      <c r="T55" t="n">
        <v>-7</v>
      </c>
      <c r="U55" t="n">
        <v>53</v>
      </c>
      <c r="V55" t="n">
        <v>-10</v>
      </c>
    </row>
    <row r="56">
      <c r="A56" s="11" t="inlineStr">
        <is>
          <t>2B</t>
        </is>
      </c>
      <c r="B56" s="12" t="inlineStr">
        <is>
          <t>Depressive</t>
        </is>
      </c>
      <c r="C56" s="12" t="inlineStr">
        <is>
          <t>Clinical Personality</t>
        </is>
      </c>
      <c r="D56" s="13">
        <f>$B$10+$B$19+$B$23+$B$33+$B$34+$B$40+$E$14+$E$20+$E$24+$E$29+$E$36+$E$44+$H$14+$H$20+$H$25+$H$31+$H$38+$K$11+$K$16+$K$22+$K$25+$K$28+$K$31+$K$34+$K$39+$K$43+$N$17+$N$23+$N$29+$N$35+$N$41</f>
        <v/>
      </c>
      <c r="E56" s="7" t="n"/>
      <c r="F56" s="6">
        <f>IF(D51="",0,VLOOKUP(MIN(MAX(D51,0),199),P:Q,2,TRUE))</f>
        <v/>
      </c>
      <c r="G56" s="6">
        <f>IF(OR(E68="",E71=""),0,IF(AND((E68+F68)&lt;75,(E71+F71)&lt;75),0,VLOOKUP(MIN(MAX(IF((E68+F68)&gt;=75,(E68+F68)-75,0)+IF((E71+F71)&gt;=75,(E71+F71)-75,0),0),80),U:V,2,TRUE)))</f>
        <v/>
      </c>
      <c r="H56" s="14" t="n">
        <v>0</v>
      </c>
      <c r="I56" s="7" t="n">
        <v>0</v>
      </c>
      <c r="J56" s="15">
        <f>IF(E56="","",MIN(MAX(E56+F56+G56+H56+I56,0),115))</f>
        <v/>
      </c>
      <c r="K56" s="6">
        <f>IF(J56="","",IF(J56&gt;=85,"PROMINENT",IF(J56&gt;=75,"PRESENT",IF(J56&gt;=60,"Suggestive","Normal"))))</f>
        <v/>
      </c>
      <c r="P56" t="n">
        <v>54</v>
      </c>
      <c r="Q56" t="n">
        <v>5</v>
      </c>
      <c r="R56" t="n">
        <v>3</v>
      </c>
      <c r="S56" t="n">
        <v>54</v>
      </c>
      <c r="T56" t="n">
        <v>-7</v>
      </c>
      <c r="U56" t="n">
        <v>54</v>
      </c>
      <c r="V56" t="n">
        <v>-10</v>
      </c>
    </row>
    <row r="57">
      <c r="A57" s="11" t="inlineStr">
        <is>
          <t>3</t>
        </is>
      </c>
      <c r="B57" s="12" t="inlineStr">
        <is>
          <t>Dependent</t>
        </is>
      </c>
      <c r="C57" s="12" t="inlineStr">
        <is>
          <t>Clinical Personality</t>
        </is>
      </c>
      <c r="D57" s="13">
        <f>$B$13+$B$19+$B$26+$B$33+$B$38+$B$43+$E$14+$E$20+$E$26+$E$32+$E$36+$E$40+$H$13+$H$18+$H$23+$H$30+$H$36+$H$42+$K$13+$K$19+$K$25+$K$31+$K$37+$K$43+$N$14+$N$20+$N$27+$N$33+$N$39</f>
        <v/>
      </c>
      <c r="E57" s="7" t="n"/>
      <c r="F57" s="6">
        <f>IF(D51="",0,VLOOKUP(MIN(MAX(D51,0),199),P:Q,2,TRUE))</f>
        <v/>
      </c>
      <c r="G57" s="14" t="n">
        <v>0</v>
      </c>
      <c r="H57" s="14" t="n">
        <v>0</v>
      </c>
      <c r="I57" s="7" t="n">
        <v>0</v>
      </c>
      <c r="J57" s="15">
        <f>IF(E57="","",MIN(MAX(E57+F57+G57+H57+I57,0),115))</f>
        <v/>
      </c>
      <c r="K57" s="6">
        <f>IF(J57="","",IF(J57&gt;=85,"PROMINENT",IF(J57&gt;=75,"PRESENT",IF(J57&gt;=60,"Suggestive","Normal"))))</f>
        <v/>
      </c>
      <c r="P57" t="n">
        <v>55</v>
      </c>
      <c r="Q57" t="n">
        <v>5</v>
      </c>
      <c r="R57" t="n">
        <v>3</v>
      </c>
      <c r="S57" t="n">
        <v>55</v>
      </c>
      <c r="T57" t="n">
        <v>-7</v>
      </c>
      <c r="U57" t="n">
        <v>55</v>
      </c>
      <c r="V57" t="n">
        <v>-11</v>
      </c>
    </row>
    <row r="58">
      <c r="A58" s="11" t="inlineStr">
        <is>
          <t>4</t>
        </is>
      </c>
      <c r="B58" s="12" t="inlineStr">
        <is>
          <t>Histrionic</t>
        </is>
      </c>
      <c r="C58" s="12" t="inlineStr">
        <is>
          <t>Clinical Personality</t>
        </is>
      </c>
      <c r="D58" s="13">
        <f>$B$11+$B$17+$B$25+$B$32+$E$10+$E$15+$E$22+$E$31+$E$37+$E$42+$H$15+$H$17+$H$22+$H$27+$H$34+$H$40+$H$44+$K$12+$K$18+$K$24+$K$30+$K$36+$K$42+$N$13+$N$19+$N$25+$N$31+$N$37+$N$43</f>
        <v/>
      </c>
      <c r="E58" s="7" t="n"/>
      <c r="F58" s="6">
        <f>IF(D51="",0,VLOOKUP(MIN(MAX(D51,0),199),P:Q,2,TRUE))</f>
        <v/>
      </c>
      <c r="G58" s="14" t="n">
        <v>0</v>
      </c>
      <c r="H58" s="14" t="n">
        <v>0</v>
      </c>
      <c r="I58" s="7" t="n">
        <v>0</v>
      </c>
      <c r="J58" s="15">
        <f>IF(E58="","",MIN(MAX(E58+F58+G58+H58+I58,0),115))</f>
        <v/>
      </c>
      <c r="K58" s="6">
        <f>IF(J58="","",IF(J58&gt;=85,"PROMINENT",IF(J58&gt;=75,"PRESENT",IF(J58&gt;=60,"Suggestive","Normal"))))</f>
        <v/>
      </c>
      <c r="P58" t="n">
        <v>56</v>
      </c>
      <c r="Q58" t="n">
        <v>4</v>
      </c>
      <c r="R58" t="n">
        <v>3</v>
      </c>
      <c r="S58" t="n">
        <v>56</v>
      </c>
      <c r="T58" t="n">
        <v>-8</v>
      </c>
      <c r="U58" t="n">
        <v>56</v>
      </c>
      <c r="V58" t="n">
        <v>-11</v>
      </c>
    </row>
    <row r="59">
      <c r="A59" s="11" t="inlineStr">
        <is>
          <t>5</t>
        </is>
      </c>
      <c r="B59" s="12" t="inlineStr">
        <is>
          <t>Narcissistic</t>
        </is>
      </c>
      <c r="C59" s="12" t="inlineStr">
        <is>
          <t>Clinical Personality</t>
        </is>
      </c>
      <c r="D59" s="13">
        <f>ROUND(($B$11+$B$17+$B$25+$B$32+$B$39+$E$10+$E$15+$E$22+$E$31+$E$37+$E$42+$H$15+$H$17+$H$22+$H$27+$H$34+$H$40+$H$44+$K$12+$K$18+$K$24+$K$30+$K$36+$K$42+$N$13+$N$19+$N$25+$N$31+$N$37+$N$43+(1-$E$24)+(1-$H$25)+(1-$N$14)+(1-$N$44))*2/3,0)</f>
        <v/>
      </c>
      <c r="E59" s="7" t="n"/>
      <c r="F59" s="6">
        <f>IF(D51="",0,VLOOKUP(MIN(MAX(D51,0),199),P:Q,2,TRUE))</f>
        <v/>
      </c>
      <c r="G59" s="14" t="n">
        <v>0</v>
      </c>
      <c r="H59" s="14" t="n">
        <v>0</v>
      </c>
      <c r="I59" s="7" t="n">
        <v>0</v>
      </c>
      <c r="J59" s="15">
        <f>IF(E59="","",MIN(MAX(E59+F59+G59+H59+I59,0),115))</f>
        <v/>
      </c>
      <c r="K59" s="6">
        <f>IF(J59="","",IF(J59&gt;=85,"PROMINENT",IF(J59&gt;=75,"PRESENT",IF(J59&gt;=60,"Suggestive","Normal"))))</f>
        <v/>
      </c>
      <c r="P59" t="n">
        <v>57</v>
      </c>
      <c r="Q59" t="n">
        <v>3</v>
      </c>
      <c r="R59" t="n">
        <v>2</v>
      </c>
      <c r="S59" t="n">
        <v>57</v>
      </c>
      <c r="T59" t="n">
        <v>-8</v>
      </c>
      <c r="U59" t="n">
        <v>57</v>
      </c>
      <c r="V59" t="n">
        <v>-11</v>
      </c>
    </row>
    <row r="60">
      <c r="A60" s="11" t="inlineStr">
        <is>
          <t>6A</t>
        </is>
      </c>
      <c r="B60" s="12" t="inlineStr">
        <is>
          <t>Antisocial</t>
        </is>
      </c>
      <c r="C60" s="12" t="inlineStr">
        <is>
          <t>Clinical Personality</t>
        </is>
      </c>
      <c r="D60" s="13">
        <f>$B$14+$B$24+$B$30+$B$36+$B$44+$E$16+$E$18+$E$27+$E$34+$E$38+$E$43+$H$12+$H$16+$H$21+$H$26+$H$32+$H$37+$H$41+$K$10+$K$15+$K$21+$K$27+$K$33+$K$38+$K$44+$N$15+$N$21+$N$28+$N$34+$N$40</f>
        <v/>
      </c>
      <c r="E60" s="7" t="n"/>
      <c r="F60" s="6">
        <f>IF(D51="",0,VLOOKUP(MIN(MAX(D51,0),199),P:Q,2,TRUE))</f>
        <v/>
      </c>
      <c r="G60" s="14" t="n">
        <v>0</v>
      </c>
      <c r="H60" s="14" t="n">
        <v>0</v>
      </c>
      <c r="I60" s="7" t="n">
        <v>0</v>
      </c>
      <c r="J60" s="15">
        <f>IF(E60="","",MIN(MAX(E60+F60+G60+H60+I60,0),115))</f>
        <v/>
      </c>
      <c r="K60" s="6">
        <f>IF(J60="","",IF(J60&gt;=85,"PROMINENT",IF(J60&gt;=75,"PRESENT",IF(J60&gt;=60,"Suggestive","Normal"))))</f>
        <v/>
      </c>
      <c r="P60" t="n">
        <v>58</v>
      </c>
      <c r="Q60" t="n">
        <v>2</v>
      </c>
      <c r="R60" t="n">
        <v>2</v>
      </c>
      <c r="S60" t="n">
        <v>58</v>
      </c>
      <c r="T60" t="n">
        <v>-8</v>
      </c>
      <c r="U60" t="n">
        <v>58</v>
      </c>
      <c r="V60" t="n">
        <v>-11</v>
      </c>
    </row>
    <row r="61">
      <c r="A61" s="11" t="inlineStr">
        <is>
          <t>6B</t>
        </is>
      </c>
      <c r="B61" s="12" t="inlineStr">
        <is>
          <t>Sadistic (Aggressive)</t>
        </is>
      </c>
      <c r="C61" s="12" t="inlineStr">
        <is>
          <t>Clinical Personality</t>
        </is>
      </c>
      <c r="D61" s="13">
        <f>$B$14+$B$24+$B$30+$B$36+$B$44+$E$16+$E$18+$E$27+$E$34+$E$38+$E$43+$H$12+$H$16+$H$21+$H$26+$H$32+$H$37+$H$41+$K$10+$K$15+$K$21+$K$27+$K$33+$K$44+$N$15+$N$21</f>
        <v/>
      </c>
      <c r="E61" s="7" t="n"/>
      <c r="F61" s="6">
        <f>IF(D51="",0,VLOOKUP(MIN(MAX(D51,0),199),P:Q,2,TRUE))</f>
        <v/>
      </c>
      <c r="G61" s="14" t="n">
        <v>0</v>
      </c>
      <c r="H61" s="14" t="n">
        <v>0</v>
      </c>
      <c r="I61" s="7" t="n">
        <v>0</v>
      </c>
      <c r="J61" s="15">
        <f>IF(E61="","",MIN(MAX(E61+F61+G61+H61+I61,0),115))</f>
        <v/>
      </c>
      <c r="K61" s="6">
        <f>IF(J61="","",IF(J61&gt;=85,"PROMINENT",IF(J61&gt;=75,"PRESENT",IF(J61&gt;=60,"Suggestive","Normal"))))</f>
        <v/>
      </c>
      <c r="P61" t="n">
        <v>59</v>
      </c>
      <c r="Q61" t="n">
        <v>1</v>
      </c>
      <c r="R61" t="n">
        <v>1</v>
      </c>
      <c r="S61" t="n">
        <v>59</v>
      </c>
      <c r="T61" t="n">
        <v>-8</v>
      </c>
      <c r="U61" t="n">
        <v>59</v>
      </c>
      <c r="V61" t="n">
        <v>-11</v>
      </c>
    </row>
    <row r="62">
      <c r="A62" s="11" t="inlineStr">
        <is>
          <t>7</t>
        </is>
      </c>
      <c r="B62" s="12" t="inlineStr">
        <is>
          <t>Compulsive</t>
        </is>
      </c>
      <c r="C62" s="12" t="inlineStr">
        <is>
          <t>Clinical Personality</t>
        </is>
      </c>
      <c r="D62" s="13">
        <f>$B$11+$B$17+$B$25+$E$10+$E$15+$E$31+$E$42+$H$17+$H$44+(1-$B$14)+(1-$B$24)+(1-$B$30)+(1-$B$36)+(1-$B$44)+(1-$E$16)+(1-$E$18)+(1-$E$27)+(1-$E$34)+(1-$E$38)+(1-$E$43)+(1-$H$12)+(1-$H$16)+(1-$H$21)+(1-$H$26)+(1-$H$32)</f>
        <v/>
      </c>
      <c r="E62" s="7" t="n"/>
      <c r="F62" s="6">
        <f>IF(D51="",0,VLOOKUP(MIN(MAX(D51,0),199),P:Q,2,TRUE))</f>
        <v/>
      </c>
      <c r="G62" s="14" t="n">
        <v>0</v>
      </c>
      <c r="H62" s="14" t="n">
        <v>0</v>
      </c>
      <c r="I62" s="7" t="n">
        <v>0</v>
      </c>
      <c r="J62" s="15">
        <f>IF(E62="","",MIN(MAX(E62+F62+G62+H62+I62,0),115))</f>
        <v/>
      </c>
      <c r="K62" s="6">
        <f>IF(J62="","",IF(J62&gt;=85,"PROMINENT",IF(J62&gt;=75,"PRESENT",IF(J62&gt;=60,"Suggestive","Normal"))))</f>
        <v/>
      </c>
      <c r="P62" t="n">
        <v>60</v>
      </c>
      <c r="Q62" t="n">
        <v>1</v>
      </c>
      <c r="R62" t="n">
        <v>1</v>
      </c>
      <c r="S62" t="n">
        <v>60</v>
      </c>
      <c r="T62" t="n">
        <v>-8</v>
      </c>
      <c r="U62" t="n">
        <v>60</v>
      </c>
      <c r="V62" t="n">
        <v>-12</v>
      </c>
    </row>
    <row r="63">
      <c r="A63" s="11" t="inlineStr">
        <is>
          <t>8A</t>
        </is>
      </c>
      <c r="B63" s="12" t="inlineStr">
        <is>
          <t>Negativistic</t>
        </is>
      </c>
      <c r="C63" s="12" t="inlineStr">
        <is>
          <t>Clinical Personality</t>
        </is>
      </c>
      <c r="D63" s="13">
        <f>$B$14+$B$16+$B$24+$B$30+$B$36+$B$39+$B$44+$E$11+$E$16+$E$18+$E$25+$E$27+$E$30+$E$34+$E$38+$E$40+$E$43+$H$12+$H$14+$H$16+$H$19+$H$21+$H$24+$H$26+$H$28+$H$32+$H$35+$H$37+$H$39+$H$41+$H$43+$K$10+$K$15+$K$17+$K$20+$K$21+$K$23+$K$27+$K$29+$K$33+$K$35+$K$38+$K$41+$K$44+$N$12+$N$15+$N$18+$N$21+$N$24+$N$28+$N$30+$N$34+$N$36+$N$40+$N$42</f>
        <v/>
      </c>
      <c r="E63" s="7" t="n"/>
      <c r="F63" s="6">
        <f>IF(D51="",0,VLOOKUP(MIN(MAX(D51,0),199),P:Q,2,TRUE))</f>
        <v/>
      </c>
      <c r="G63" s="14" t="n">
        <v>0</v>
      </c>
      <c r="H63" s="14" t="n">
        <v>0</v>
      </c>
      <c r="I63" s="7" t="n">
        <v>0</v>
      </c>
      <c r="J63" s="15">
        <f>IF(E63="","",MIN(MAX(E63+F63+G63+H63+I63,0),115))</f>
        <v/>
      </c>
      <c r="K63" s="6">
        <f>IF(J63="","",IF(J63&gt;=85,"PROMINENT",IF(J63&gt;=75,"PRESENT",IF(J63&gt;=60,"Suggestive","Normal"))))</f>
        <v/>
      </c>
      <c r="P63" t="n">
        <v>61</v>
      </c>
      <c r="Q63" t="n">
        <v>0</v>
      </c>
      <c r="R63" t="n">
        <v>0</v>
      </c>
      <c r="S63" t="n">
        <v>61</v>
      </c>
      <c r="T63" t="n">
        <v>-8</v>
      </c>
      <c r="U63" t="n">
        <v>61</v>
      </c>
      <c r="V63" t="n">
        <v>-12</v>
      </c>
    </row>
    <row r="64">
      <c r="A64" s="11" t="inlineStr">
        <is>
          <t>8B</t>
        </is>
      </c>
      <c r="B64" s="12" t="inlineStr">
        <is>
          <t>Masochistic</t>
        </is>
      </c>
      <c r="C64" s="12" t="inlineStr">
        <is>
          <t>Clinical Personality</t>
        </is>
      </c>
      <c r="D64" s="13">
        <f>$B$10+$B$19+$B$23+$B$33+$B$34+$B$40+$E$14+$E$20+$E$24+$E$29+$E$36+$E$44+$H$14+$H$20+$H$23+$H$25+$H$28+$H$31+$H$36+$H$38+$H$42+$K$11+$K$13+$K$16+$K$19+$K$22+$K$25+$K$28+$K$31+$K$34+$K$37+$K$39+$K$43+$N$10+$N$14+$N$17+$N$20+$N$23+$N$27+$N$29+$N$33+$N$35+$N$39+$N$41+$N$44</f>
        <v/>
      </c>
      <c r="E64" s="7" t="n"/>
      <c r="F64" s="6">
        <f>IF(D51="",0,VLOOKUP(MIN(MAX(D51,0),199),P:Q,2,TRUE))</f>
        <v/>
      </c>
      <c r="G64" s="6">
        <f>IF(OR(E68="",E71=""),0,IF(AND((E68+F68)&lt;75,(E71+F71)&lt;75),0,VLOOKUP(MIN(MAX(IF((E68+F68)&gt;=75,(E68+F68)-75,0)+IF((E71+F71)&gt;=75,(E71+F71)-75,0),0),80),U:V,2,TRUE)))</f>
        <v/>
      </c>
      <c r="H64" s="14" t="n">
        <v>0</v>
      </c>
      <c r="I64" s="7" t="n">
        <v>0</v>
      </c>
      <c r="J64" s="15">
        <f>IF(E64="","",MIN(MAX(E64+F64+G64+H64+I64,0),115))</f>
        <v/>
      </c>
      <c r="K64" s="6">
        <f>IF(J64="","",IF(J64&gt;=85,"PROMINENT",IF(J64&gt;=75,"PRESENT",IF(J64&gt;=60,"Suggestive","Normal"))))</f>
        <v/>
      </c>
      <c r="P64" t="n">
        <v>62</v>
      </c>
      <c r="Q64" t="n">
        <v>0</v>
      </c>
      <c r="R64" t="n">
        <v>0</v>
      </c>
      <c r="S64" t="n">
        <v>62</v>
      </c>
      <c r="T64" t="n">
        <v>-8</v>
      </c>
      <c r="U64" t="n">
        <v>62</v>
      </c>
      <c r="V64" t="n">
        <v>-12</v>
      </c>
    </row>
    <row r="65">
      <c r="A65" s="11" t="inlineStr">
        <is>
          <t>S</t>
        </is>
      </c>
      <c r="B65" s="12" t="inlineStr">
        <is>
          <t>Schizotypal</t>
        </is>
      </c>
      <c r="C65" s="12" t="inlineStr">
        <is>
          <t>Severe Personality</t>
        </is>
      </c>
      <c r="D65" s="13">
        <f>$B$10+$B$23+$B$34+$E$14+$E$20+$E$29+$E$36+$E$44+$H$20+$H$25+$H$29+$H$31+$H$33+$H$38+$K$11+$K$16+$K$22+$K$28+$K$34+$K$39+$K$40+$N$10+$N$17+$N$23+$N$29+$N$35+(1-$E$31)+(1-$H$17)+(1-$H$44)</f>
        <v/>
      </c>
      <c r="E65" s="7" t="n"/>
      <c r="F65" s="6">
        <f>IF(D51="",0,VLOOKUP(MIN(MAX(D51,0),199),P:R,3,TRUE))</f>
        <v/>
      </c>
      <c r="G65" s="6">
        <f>IF(OR(E68="",E71=""),0,IF(AND((E68+F68)&lt;75,(E71+F71)&lt;75),0,VLOOKUP(MIN(MAX(IF((E68+F68)&gt;=75,(E68+F68)-75,0)+IF((E71+F71)&gt;=75,(E71+F71)-75,0),0),80),S:T,2,TRUE)))</f>
        <v/>
      </c>
      <c r="H65" s="14" t="n">
        <v>0</v>
      </c>
      <c r="I65" s="14" t="n">
        <v>0</v>
      </c>
      <c r="J65" s="15">
        <f>IF(E65="","",MIN(MAX(E65+F65+G65+H65+I65,0),115))</f>
        <v/>
      </c>
      <c r="K65" s="6">
        <f>IF(J65="","",IF(J65&gt;=85,"PROMINENT",IF(J65&gt;=75,"PRESENT",IF(J65&gt;=60,"Suggestive","Normal"))))</f>
        <v/>
      </c>
      <c r="P65" t="n">
        <v>63</v>
      </c>
      <c r="Q65" t="n">
        <v>0</v>
      </c>
      <c r="R65" t="n">
        <v>0</v>
      </c>
      <c r="S65" t="n">
        <v>63</v>
      </c>
      <c r="T65" t="n">
        <v>-8</v>
      </c>
      <c r="U65" t="n">
        <v>63</v>
      </c>
      <c r="V65" t="n">
        <v>-12</v>
      </c>
    </row>
    <row r="66">
      <c r="A66" s="11" t="inlineStr">
        <is>
          <t>C</t>
        </is>
      </c>
      <c r="B66" s="12" t="inlineStr">
        <is>
          <t>Borderline</t>
        </is>
      </c>
      <c r="C66" s="12" t="inlineStr">
        <is>
          <t>Severe Personality</t>
        </is>
      </c>
      <c r="D66" s="13">
        <f>$B$14+$B$16+$B$24+$B$30+$B$36+$B$39+$B$44+$E$11+$E$16+$E$18+$E$25+$E$27+$E$30+$E$34+$E$36+$E$38+$E$40+$E$43+$H$12+$H$14+$H$16+$H$19+$H$21+$H$24+$H$26+$H$28+$H$32+$H$35+$H$37+$H$39+$H$41+$H$43+$K$10+$K$15+$K$17+$K$20+$K$21+$K$23+$K$27+$K$29+$K$33+$K$35+$K$38+$K$41+$K$44+$N$12+$N$15+$N$18+$N$21+$N$24+$N$28+$N$30+$N$34+$N$36+$N$40+$N$42</f>
        <v/>
      </c>
      <c r="E66" s="7" t="n"/>
      <c r="F66" s="6">
        <f>IF(D51="",0,VLOOKUP(MIN(MAX(D51,0),199),P:R,3,TRUE))</f>
        <v/>
      </c>
      <c r="G66" s="6">
        <f>IF(OR(E68="",E71=""),0,IF(AND((E68+F68)&lt;75,(E71+F71)&lt;75),0,VLOOKUP(MIN(MAX(IF((E68+F68)&gt;=75,(E68+F68)-75,0)+IF((E71+F71)&gt;=75,(E71+F71)-75,0),0),80),U:V,2,TRUE)))</f>
        <v/>
      </c>
      <c r="H66" s="14" t="n">
        <v>0</v>
      </c>
      <c r="I66" s="14" t="n">
        <v>0</v>
      </c>
      <c r="J66" s="15">
        <f>IF(E66="","",MIN(MAX(E66+F66+G66+H66+I66,0),115))</f>
        <v/>
      </c>
      <c r="K66" s="6">
        <f>IF(J66="","",IF(J66&gt;=85,"PROMINENT",IF(J66&gt;=75,"PRESENT",IF(J66&gt;=60,"Suggestive","Normal"))))</f>
        <v/>
      </c>
      <c r="P66" t="n">
        <v>64</v>
      </c>
      <c r="Q66" t="n">
        <v>0</v>
      </c>
      <c r="R66" t="n">
        <v>0</v>
      </c>
      <c r="S66" t="n">
        <v>64</v>
      </c>
      <c r="T66" t="n">
        <v>-9</v>
      </c>
      <c r="U66" t="n">
        <v>64</v>
      </c>
      <c r="V66" t="n">
        <v>-12</v>
      </c>
    </row>
    <row r="67">
      <c r="A67" s="11" t="inlineStr">
        <is>
          <t>P</t>
        </is>
      </c>
      <c r="B67" s="12" t="inlineStr">
        <is>
          <t>Paranoid</t>
        </is>
      </c>
      <c r="C67" s="12" t="inlineStr">
        <is>
          <t>Severe Personality</t>
        </is>
      </c>
      <c r="D67" s="13">
        <f>$B$14+$B$24+$B$30+$B$36+$B$39+$B$44+$E$16+$E$18+$E$22+$E$27+$E$34+$E$37+$E$38+$E$43+$H$12+$H$15+$H$16+$H$21+$H$22+$H$26+$H$27+$H$32+$H$34+$H$37+$H$40+$H$41+$K$10+$K$12+$K$15+$K$18+$K$21+$K$24+$K$27+$K$30+$K$33+$K$36+$K$42+$K$44+$N$13+$N$15+$N$19+$N$21+$N$25+$N$28+$N$31+$N$34+$N$37+$N$40+$N$43</f>
        <v/>
      </c>
      <c r="E67" s="7" t="n"/>
      <c r="F67" s="6">
        <f>IF(D51="",0,VLOOKUP(MIN(MAX(D51,0),199),P:R,3,TRUE))</f>
        <v/>
      </c>
      <c r="G67" s="14" t="n">
        <v>0</v>
      </c>
      <c r="H67" s="14" t="n">
        <v>0</v>
      </c>
      <c r="I67" s="14" t="n">
        <v>0</v>
      </c>
      <c r="J67" s="15">
        <f>IF(E67="","",MIN(MAX(E67+F67+G67+H67+I67,0),115))</f>
        <v/>
      </c>
      <c r="K67" s="6">
        <f>IF(J67="","",IF(J67&gt;=85,"PROMINENT",IF(J67&gt;=75,"PRESENT",IF(J67&gt;=60,"Suggestive","Normal"))))</f>
        <v/>
      </c>
      <c r="P67" t="n">
        <v>65</v>
      </c>
      <c r="Q67" t="n">
        <v>0</v>
      </c>
      <c r="R67" t="n">
        <v>0</v>
      </c>
      <c r="S67" t="n">
        <v>65</v>
      </c>
      <c r="T67" t="n">
        <v>-9</v>
      </c>
      <c r="U67" t="n">
        <v>65</v>
      </c>
      <c r="V67" t="n">
        <v>-13</v>
      </c>
    </row>
    <row r="68">
      <c r="A68" s="11" t="inlineStr">
        <is>
          <t>A</t>
        </is>
      </c>
      <c r="B68" s="12" t="inlineStr">
        <is>
          <t>Anxiety</t>
        </is>
      </c>
      <c r="C68" s="12" t="inlineStr">
        <is>
          <t>Clinical Syndromes</t>
        </is>
      </c>
      <c r="D68" s="13">
        <f>$B$15+$B$19+$B$26+$B$33+$B$38+$B$43+$E$17+$E$24+$E$25+$E$28+$E$30+$E$36+$E$40+$H$10+$H$13+$H$18+$H$21+$H$23+$H$28+$H$30+$H$36+$H$39+$H$42+$K$11+$K$13+$K$17+$K$19+$K$22+$K$25+$K$31+$K$35+$K$37+$K$43+$N$14+$N$20+$N$27+$N$33+$N$39+$N$41+$N$44</f>
        <v/>
      </c>
      <c r="E68" s="7" t="n"/>
      <c r="F68" s="6">
        <f>IF(D51="",0,VLOOKUP(MIN(MAX(D51,0),199),P:R,3,TRUE))</f>
        <v/>
      </c>
      <c r="G68" s="14" t="n">
        <v>0</v>
      </c>
      <c r="H68" s="14" t="n">
        <v>0</v>
      </c>
      <c r="I68" s="14" t="n">
        <v>0</v>
      </c>
      <c r="J68" s="15">
        <f>IF(E68="","",MIN(MAX(E68+F68+G68+H68+I68,0),115))</f>
        <v/>
      </c>
      <c r="K68" s="6">
        <f>IF(J68="","",IF(J68&gt;=85,"PROMINENT",IF(J68&gt;=75,"PRESENT",IF(J68&gt;=60,"Suggestive","Normal"))))</f>
        <v/>
      </c>
      <c r="P68" t="n">
        <v>66</v>
      </c>
      <c r="Q68" t="n">
        <v>0</v>
      </c>
      <c r="R68" t="n">
        <v>0</v>
      </c>
      <c r="S68" t="n">
        <v>66</v>
      </c>
      <c r="T68" t="n">
        <v>-9</v>
      </c>
      <c r="U68" t="n">
        <v>66</v>
      </c>
      <c r="V68" t="n">
        <v>-13</v>
      </c>
    </row>
    <row r="69">
      <c r="A69" s="11" t="inlineStr">
        <is>
          <t>H</t>
        </is>
      </c>
      <c r="B69" s="12" t="inlineStr">
        <is>
          <t>Somatoform</t>
        </is>
      </c>
      <c r="C69" s="12" t="inlineStr">
        <is>
          <t>Clinical Syndromes</t>
        </is>
      </c>
      <c r="D69" s="13">
        <f>$B$15+$B$26+$B$33+$B$38+$B$43+$E$17+$E$20+$E$26+$E$28+$E$32+$E$36+$E$40+$H$13+$H$18+$H$23+$H$25+$H$30+$H$31+$H$36+$H$42+$K$13+$K$16+$K$19+$K$22+$K$25+$K$28+$K$31+$K$34+$K$37+$K$43+$N$14+$N$20+$N$27+$N$33+$N$39</f>
        <v/>
      </c>
      <c r="E69" s="7" t="n"/>
      <c r="F69" s="6">
        <f>IF(D51="",0,VLOOKUP(MIN(MAX(D51,0),199),P:R,3,TRUE))</f>
        <v/>
      </c>
      <c r="G69" s="14" t="n">
        <v>0</v>
      </c>
      <c r="H69" s="14" t="n">
        <v>0</v>
      </c>
      <c r="I69" s="14" t="n">
        <v>0</v>
      </c>
      <c r="J69" s="15">
        <f>IF(E69="","",MIN(MAX(E69+F69+G69+H69+I69,0),115))</f>
        <v/>
      </c>
      <c r="K69" s="6">
        <f>IF(J69="","",IF(J69&gt;=85,"PROMINENT",IF(J69&gt;=75,"PRESENT",IF(J69&gt;=60,"Suggestive","Normal"))))</f>
        <v/>
      </c>
      <c r="P69" t="n">
        <v>67</v>
      </c>
      <c r="Q69" t="n">
        <v>0</v>
      </c>
      <c r="R69" t="n">
        <v>0</v>
      </c>
      <c r="S69" t="n">
        <v>67</v>
      </c>
      <c r="T69" t="n">
        <v>-9</v>
      </c>
      <c r="U69" t="n">
        <v>67</v>
      </c>
      <c r="V69" t="n">
        <v>-13</v>
      </c>
    </row>
    <row r="70">
      <c r="A70" s="11" t="inlineStr">
        <is>
          <t>N</t>
        </is>
      </c>
      <c r="B70" s="12" t="inlineStr">
        <is>
          <t>Bipolar: Manic</t>
        </is>
      </c>
      <c r="C70" s="12" t="inlineStr">
        <is>
          <t>Clinical Syndromes</t>
        </is>
      </c>
      <c r="D70" s="13">
        <f>$B$11+$B$17+$B$25+$B$32+$B$39+$E$10+$E$15+$E$22+$E$31+$E$37+$E$42+$H$15+$H$17+$H$22+$H$27+$H$34+$H$40+$H$44+$K$12+$K$18+$K$24+$K$30+$K$36+$K$42+$N$13+$N$19+$N$25+$N$31+$N$37+$N$43</f>
        <v/>
      </c>
      <c r="E70" s="7" t="n"/>
      <c r="F70" s="6">
        <f>IF(D51="",0,VLOOKUP(MIN(MAX(D51,0),199),P:R,3,TRUE))</f>
        <v/>
      </c>
      <c r="G70" s="14" t="n">
        <v>0</v>
      </c>
      <c r="H70" s="14" t="n">
        <v>0</v>
      </c>
      <c r="I70" s="14" t="n">
        <v>0</v>
      </c>
      <c r="J70" s="15">
        <f>IF(E70="","",MIN(MAX(E70+F70+G70+H70+I70,0),115))</f>
        <v/>
      </c>
      <c r="K70" s="6">
        <f>IF(J70="","",IF(J70&gt;=85,"PROMINENT",IF(J70&gt;=75,"PRESENT",IF(J70&gt;=60,"Suggestive","Normal"))))</f>
        <v/>
      </c>
      <c r="P70" t="n">
        <v>68</v>
      </c>
      <c r="Q70" t="n">
        <v>0</v>
      </c>
      <c r="R70" t="n">
        <v>0</v>
      </c>
      <c r="S70" t="n">
        <v>68</v>
      </c>
      <c r="T70" t="n">
        <v>-9</v>
      </c>
      <c r="U70" t="n">
        <v>68</v>
      </c>
      <c r="V70" t="n">
        <v>-13</v>
      </c>
    </row>
    <row r="71">
      <c r="A71" s="11" t="inlineStr">
        <is>
          <t>D</t>
        </is>
      </c>
      <c r="B71" s="12" t="inlineStr">
        <is>
          <t>Dysthymia</t>
        </is>
      </c>
      <c r="C71" s="12" t="inlineStr">
        <is>
          <t>Clinical Syndromes</t>
        </is>
      </c>
      <c r="D71" s="13">
        <f>$B$10+$B$19+$B$23+$B$33+$B$34+$B$40+$E$14+$E$20+$E$24+$E$29+$E$36+$E$44+$H$14+$H$20+$H$23+$H$25+$H$28+$H$31+$H$38+$K$11+$K$16+$K$22+$K$25+$K$28+$K$31+$K$34+$K$39+$K$43+$N$10+$N$14+$N$17+$N$20+$N$23+$N$27+$N$29+$N$33+$N$35+$N$39+$N$41+$N$44</f>
        <v/>
      </c>
      <c r="E71" s="7" t="n"/>
      <c r="F71" s="6">
        <f>IF(D51="",0,VLOOKUP(MIN(MAX(D51,0),199),P:R,3,TRUE))</f>
        <v/>
      </c>
      <c r="G71" s="14" t="n">
        <v>0</v>
      </c>
      <c r="H71" s="14" t="n">
        <v>0</v>
      </c>
      <c r="I71" s="14" t="n">
        <v>0</v>
      </c>
      <c r="J71" s="15">
        <f>IF(E71="","",MIN(MAX(E71+F71+G71+H71+I71,0),115))</f>
        <v/>
      </c>
      <c r="K71" s="6">
        <f>IF(J71="","",IF(J71&gt;=85,"PROMINENT",IF(J71&gt;=75,"PRESENT",IF(J71&gt;=60,"Suggestive","Normal"))))</f>
        <v/>
      </c>
      <c r="P71" t="n">
        <v>69</v>
      </c>
      <c r="Q71" t="n">
        <v>0</v>
      </c>
      <c r="R71" t="n">
        <v>0</v>
      </c>
      <c r="S71" t="n">
        <v>69</v>
      </c>
      <c r="T71" t="n">
        <v>-9</v>
      </c>
      <c r="U71" t="n">
        <v>69</v>
      </c>
      <c r="V71" t="n">
        <v>-13</v>
      </c>
    </row>
    <row r="72">
      <c r="A72" s="11" t="inlineStr">
        <is>
          <t>B</t>
        </is>
      </c>
      <c r="B72" s="12" t="inlineStr">
        <is>
          <t>Alcohol Dependence</t>
        </is>
      </c>
      <c r="C72" s="12" t="inlineStr">
        <is>
          <t>Clinical Syndromes</t>
        </is>
      </c>
      <c r="D72" s="13">
        <f>$B$14+$B$24+$B$30+$B$36+$B$44+$E$16+$E$18+$E$27+$E$34+$E$38+$E$43+$H$12+$H$16+$H$21+$H$26+$H$32+$H$37+$K$10+$K$21+$K$27+$K$33+$K$38+$K$44+$N$15+$N$21+$N$28+$N$34+$N$40</f>
        <v/>
      </c>
      <c r="E72" s="7" t="n"/>
      <c r="F72" s="6">
        <f>IF(D51="",0,VLOOKUP(MIN(MAX(D51,0),199),P:R,3,TRUE))</f>
        <v/>
      </c>
      <c r="G72" s="14" t="n">
        <v>0</v>
      </c>
      <c r="H72" s="14" t="n">
        <v>0</v>
      </c>
      <c r="I72" s="14" t="n">
        <v>0</v>
      </c>
      <c r="J72" s="15">
        <f>IF(E72="","",MIN(MAX(E72+F72+G72+H72+I72,0),115))</f>
        <v/>
      </c>
      <c r="K72" s="6">
        <f>IF(J72="","",IF(J72&gt;=85,"PROMINENT",IF(J72&gt;=75,"PRESENT",IF(J72&gt;=60,"Suggestive","Normal"))))</f>
        <v/>
      </c>
      <c r="P72" t="n">
        <v>70</v>
      </c>
      <c r="Q72" t="n">
        <v>0</v>
      </c>
      <c r="R72" t="n">
        <v>0</v>
      </c>
      <c r="S72" t="n">
        <v>70</v>
      </c>
      <c r="T72" t="n">
        <v>-9</v>
      </c>
      <c r="U72" t="n">
        <v>70</v>
      </c>
      <c r="V72" t="n">
        <v>-14</v>
      </c>
    </row>
    <row r="73">
      <c r="A73" s="11" t="inlineStr">
        <is>
          <t>T</t>
        </is>
      </c>
      <c r="B73" s="12" t="inlineStr">
        <is>
          <t>Drug Dependence</t>
        </is>
      </c>
      <c r="C73" s="12" t="inlineStr">
        <is>
          <t>Clinical Syndromes</t>
        </is>
      </c>
      <c r="D73" s="13">
        <f>$B$14+$B$24+$B$30+$B$36+$B$44+$E$16+$E$18+$E$27+$E$34+$E$38+$E$43+$H$12+$H$16+$H$21+$H$26+$H$32+$H$37+$H$41+$K$10+$K$15+$K$21+$K$27+$K$33+$K$38+$K$44+$N$15+$N$21+$N$28+$N$34+$N$40</f>
        <v/>
      </c>
      <c r="E73" s="7" t="n"/>
      <c r="F73" s="6">
        <f>IF(D51="",0,VLOOKUP(MIN(MAX(D51,0),199),P:R,3,TRUE))</f>
        <v/>
      </c>
      <c r="G73" s="14" t="n">
        <v>0</v>
      </c>
      <c r="H73" s="14" t="n">
        <v>0</v>
      </c>
      <c r="I73" s="14" t="n">
        <v>0</v>
      </c>
      <c r="J73" s="15">
        <f>IF(E73="","",MIN(MAX(E73+F73+G73+H73+I73,0),115))</f>
        <v/>
      </c>
      <c r="K73" s="6">
        <f>IF(J73="","",IF(J73&gt;=85,"PROMINENT",IF(J73&gt;=75,"PRESENT",IF(J73&gt;=60,"Suggestive","Normal"))))</f>
        <v/>
      </c>
      <c r="P73" t="n">
        <v>71</v>
      </c>
      <c r="Q73" t="n">
        <v>0</v>
      </c>
      <c r="R73" t="n">
        <v>0</v>
      </c>
      <c r="S73" t="n">
        <v>71</v>
      </c>
      <c r="T73" t="n">
        <v>-9</v>
      </c>
      <c r="U73" t="n">
        <v>71</v>
      </c>
      <c r="V73" t="n">
        <v>-14</v>
      </c>
    </row>
    <row r="74">
      <c r="A74" s="11" t="inlineStr">
        <is>
          <t>R</t>
        </is>
      </c>
      <c r="B74" s="12" t="inlineStr">
        <is>
          <t>PTSD</t>
        </is>
      </c>
      <c r="C74" s="12" t="inlineStr">
        <is>
          <t>Clinical Syndromes</t>
        </is>
      </c>
      <c r="D74" s="13">
        <f>$B$15+$B$19+$B$26+$B$33+$B$38+$B$43+$E$17+$E$24+$E$25+$E$28+$E$30+$E$36+$E$40+$H$10+$H$13+$H$18+$H$21+$H$23+$H$28+$H$30+$H$36+$H$39+$H$42+$K$11+$K$13+$K$17+$K$19+$K$22+$K$25+$K$31+$K$35+$K$37+$K$43+$N$14+$N$20+$N$27+$N$33+$N$39+$N$41+$N$44</f>
        <v/>
      </c>
      <c r="E74" s="7" t="n"/>
      <c r="F74" s="6">
        <f>IF(D51="",0,VLOOKUP(MIN(MAX(D51,0),199),P:R,3,TRUE))</f>
        <v/>
      </c>
      <c r="G74" s="14" t="n">
        <v>0</v>
      </c>
      <c r="H74" s="14" t="n">
        <v>0</v>
      </c>
      <c r="I74" s="14" t="n">
        <v>0</v>
      </c>
      <c r="J74" s="15">
        <f>IF(E74="","",MIN(MAX(E74+F74+G74+H74+I74,0),115))</f>
        <v/>
      </c>
      <c r="K74" s="6">
        <f>IF(J74="","",IF(J74&gt;=85,"PROMINENT",IF(J74&gt;=75,"PRESENT",IF(J74&gt;=60,"Suggestive","Normal"))))</f>
        <v/>
      </c>
      <c r="P74" t="n">
        <v>72</v>
      </c>
      <c r="Q74" t="n">
        <v>0</v>
      </c>
      <c r="R74" t="n">
        <v>0</v>
      </c>
      <c r="S74" t="n">
        <v>72</v>
      </c>
      <c r="T74" t="n">
        <v>-10</v>
      </c>
      <c r="U74" t="n">
        <v>72</v>
      </c>
      <c r="V74" t="n">
        <v>-14</v>
      </c>
    </row>
    <row r="75">
      <c r="A75" s="11" t="inlineStr">
        <is>
          <t>SS</t>
        </is>
      </c>
      <c r="B75" s="12" t="inlineStr">
        <is>
          <t>Thought Disorder</t>
        </is>
      </c>
      <c r="C75" s="12" t="inlineStr">
        <is>
          <t>Severe Clinical</t>
        </is>
      </c>
      <c r="D75" s="13">
        <f>$B$10+$B$23+$B$34+$E$14+$E$20+$E$29+$E$36+$E$44+$H$20+$H$25+$H$29+$H$31+$H$33+$H$38+$K$11+$K$16+$K$22+$K$28+$K$34+$K$39+$K$40+$N$10+$N$17+$N$23+$N$29+$N$35+$N$41+$N$44</f>
        <v/>
      </c>
      <c r="E75" s="7" t="n"/>
      <c r="F75" s="6">
        <f>IF(D51="",0,VLOOKUP(MIN(MAX(D51,0),199),P:R,3,TRUE))</f>
        <v/>
      </c>
      <c r="G75" s="14" t="n">
        <v>0</v>
      </c>
      <c r="H75" s="6">
        <f>IF($B$6="Y",IF($D$6&lt;1,6,IF($D$6&lt;=4,4,0)),0)</f>
        <v/>
      </c>
      <c r="I75" s="14" t="n">
        <v>0</v>
      </c>
      <c r="J75" s="15">
        <f>IF(E75="","",MIN(MAX(E75+F75+G75+H75+I75,0),115))</f>
        <v/>
      </c>
      <c r="K75" s="6">
        <f>IF(J75="","",IF(J75&gt;=85,"PROMINENT",IF(J75&gt;=75,"PRESENT",IF(J75&gt;=60,"Suggestive","Normal"))))</f>
        <v/>
      </c>
      <c r="P75" t="n">
        <v>73</v>
      </c>
      <c r="Q75" t="n">
        <v>0</v>
      </c>
      <c r="R75" t="n">
        <v>0</v>
      </c>
      <c r="S75" t="n">
        <v>73</v>
      </c>
      <c r="T75" t="n">
        <v>-10</v>
      </c>
      <c r="U75" t="n">
        <v>73</v>
      </c>
      <c r="V75" t="n">
        <v>-14</v>
      </c>
    </row>
    <row r="76">
      <c r="A76" s="11" t="inlineStr">
        <is>
          <t>CC</t>
        </is>
      </c>
      <c r="B76" s="12" t="inlineStr">
        <is>
          <t>Major Depression</t>
        </is>
      </c>
      <c r="C76" s="12" t="inlineStr">
        <is>
          <t>Severe Clinical</t>
        </is>
      </c>
      <c r="D76" s="13">
        <f>$B$10+$B$19+$B$23+$B$33+$B$34+$B$40+$E$14+$E$20+$E$24+$E$29+$E$36+$E$44+$H$14+$H$20+$H$23+$H$25+$H$28+$H$31+$H$38+$K$11+$K$16+$K$22+$K$25+$K$28+$K$31+$K$34+$K$39+$K$43+$N$10+$N$14+$N$17+$N$20+$N$23+$N$27+$N$29+$N$33+$N$35+$N$39+$N$41+$N$44</f>
        <v/>
      </c>
      <c r="E76" s="7" t="n"/>
      <c r="F76" s="6">
        <f>IF(D51="",0,VLOOKUP(MIN(MAX(D51,0),199),P:R,3,TRUE))</f>
        <v/>
      </c>
      <c r="G76" s="14" t="n">
        <v>0</v>
      </c>
      <c r="H76" s="6">
        <f>IF($B$6="Y",IF($D$6&lt;1,10,IF($D$6&lt;=4,8,0)),0)</f>
        <v/>
      </c>
      <c r="I76" s="14" t="n">
        <v>0</v>
      </c>
      <c r="J76" s="15">
        <f>IF(E76="","",MIN(MAX(E76+F76+G76+H76+I76,0),115))</f>
        <v/>
      </c>
      <c r="K76" s="6">
        <f>IF(J76="","",IF(J76&gt;=85,"PROMINENT",IF(J76&gt;=75,"PRESENT",IF(J76&gt;=60,"Suggestive","Normal"))))</f>
        <v/>
      </c>
      <c r="P76" t="n">
        <v>74</v>
      </c>
      <c r="Q76" t="n">
        <v>0</v>
      </c>
      <c r="R76" t="n">
        <v>0</v>
      </c>
      <c r="S76" t="n">
        <v>74</v>
      </c>
      <c r="T76" t="n">
        <v>-10</v>
      </c>
      <c r="U76" t="n">
        <v>74</v>
      </c>
      <c r="V76" t="n">
        <v>-14</v>
      </c>
    </row>
    <row r="77">
      <c r="A77" s="11" t="inlineStr">
        <is>
          <t>PP</t>
        </is>
      </c>
      <c r="B77" s="12" t="inlineStr">
        <is>
          <t>Delusional Disorder</t>
        </is>
      </c>
      <c r="C77" s="12" t="inlineStr">
        <is>
          <t>Severe Clinical</t>
        </is>
      </c>
      <c r="D77" s="13">
        <f>$B$14+$B$24+$B$30+$B$36+$B$39+$B$44+$E$16+$E$18+$E$22+$E$27+$E$34+$E$37+$E$38+$E$43+$H$12+$H$15+$H$16+$H$21+$H$22+$H$26+$H$27+$H$32+$H$34+$H$37+$H$40+$H$41+$K$10+$K$12+$K$15+$K$18+$K$21+$K$24+$K$27+$K$30+$K$33+$K$36+$K$42+$K$44+$N$13+$N$15+$N$19+$N$21+$N$25+$N$28+$N$31+$N$34+$N$37+$N$40+$N$43</f>
        <v/>
      </c>
      <c r="E77" s="7" t="n"/>
      <c r="F77" s="6">
        <f>IF(D51="",0,VLOOKUP(MIN(MAX(D51,0),199),P:R,3,TRUE))</f>
        <v/>
      </c>
      <c r="G77" s="14" t="n">
        <v>0</v>
      </c>
      <c r="H77" s="6">
        <f>IF($B$6="Y",IF($D$6&lt;1,4,IF($D$6&lt;=4,2,0)),0)</f>
        <v/>
      </c>
      <c r="I77" s="14" t="n">
        <v>0</v>
      </c>
      <c r="J77" s="15">
        <f>IF(E77="","",MIN(MAX(E77+F77+G77+H77+I77,0),115))</f>
        <v/>
      </c>
      <c r="K77" s="6">
        <f>IF(J77="","",IF(J77&gt;=85,"PROMINENT",IF(J77&gt;=75,"PRESENT",IF(J77&gt;=60,"Suggestive","Normal"))))</f>
        <v/>
      </c>
      <c r="P77" t="n">
        <v>75</v>
      </c>
      <c r="Q77" t="n">
        <v>0</v>
      </c>
      <c r="R77" t="n">
        <v>0</v>
      </c>
      <c r="S77" t="n">
        <v>75</v>
      </c>
      <c r="T77" t="n">
        <v>-10</v>
      </c>
      <c r="U77" t="n">
        <v>75</v>
      </c>
      <c r="V77" t="n">
        <v>-15</v>
      </c>
    </row>
    <row r="78">
      <c r="P78" t="n">
        <v>76</v>
      </c>
      <c r="Q78" t="n">
        <v>0</v>
      </c>
      <c r="R78" t="n">
        <v>0</v>
      </c>
      <c r="S78" t="n">
        <v>76</v>
      </c>
      <c r="T78" t="n">
        <v>-10</v>
      </c>
      <c r="U78" t="n">
        <v>76</v>
      </c>
      <c r="V78" t="n">
        <v>-15</v>
      </c>
    </row>
    <row r="79">
      <c r="A79" s="4" t="inlineStr">
        <is>
          <t>VALIDITY SUMMARY</t>
        </is>
      </c>
      <c r="P79" t="n">
        <v>77</v>
      </c>
      <c r="Q79" t="n">
        <v>0</v>
      </c>
      <c r="R79" t="n">
        <v>0</v>
      </c>
      <c r="S79" t="n">
        <v>77</v>
      </c>
      <c r="T79" t="n">
        <v>-10</v>
      </c>
      <c r="U79" t="n">
        <v>77</v>
      </c>
      <c r="V79" t="n">
        <v>-15</v>
      </c>
    </row>
    <row r="80">
      <c r="A80" t="inlineStr">
        <is>
          <t>V Score (items 65,110,157):</t>
        </is>
      </c>
      <c r="C80" s="9">
        <f>$E$39+$K$14+$N$26</f>
        <v/>
      </c>
      <c r="D80">
        <f>IF(C80&gt;1,"INVALID","Valid")</f>
        <v/>
      </c>
      <c r="P80" t="n">
        <v>78</v>
      </c>
      <c r="Q80" t="n">
        <v>0</v>
      </c>
      <c r="R80" t="n">
        <v>0</v>
      </c>
      <c r="S80" t="n">
        <v>78</v>
      </c>
      <c r="T80" t="n">
        <v>-10</v>
      </c>
      <c r="U80" t="n">
        <v>78</v>
      </c>
      <c r="V80" t="n">
        <v>-15</v>
      </c>
    </row>
    <row r="81">
      <c r="A81" t="inlineStr">
        <is>
          <t>Scale X Raw Score:</t>
        </is>
      </c>
      <c r="C81" s="9">
        <f>D51</f>
        <v/>
      </c>
      <c r="D81">
        <f>IF(OR(C81&lt;34,C81&gt;178),"INVALID","Valid")</f>
        <v/>
      </c>
      <c r="P81" t="n">
        <v>79</v>
      </c>
      <c r="Q81" t="n">
        <v>0</v>
      </c>
      <c r="R81" t="n">
        <v>0</v>
      </c>
      <c r="S81" t="n">
        <v>79</v>
      </c>
      <c r="T81" t="n">
        <v>-10</v>
      </c>
      <c r="U81" t="n">
        <v>79</v>
      </c>
      <c r="V81" t="n">
        <v>-15</v>
      </c>
    </row>
    <row r="82">
      <c r="A82" t="inlineStr">
        <is>
          <t>Protocol Status:</t>
        </is>
      </c>
      <c r="C82" s="16">
        <f>IF(OR(C80&gt;1,C81&lt;34,C81&gt;178),"INVALID - DO NOT INTERPRET","VALID - Proceed")</f>
        <v/>
      </c>
      <c r="P82" t="n">
        <v>80</v>
      </c>
      <c r="Q82" t="n">
        <v>0</v>
      </c>
      <c r="R82" t="n">
        <v>0</v>
      </c>
      <c r="S82" t="n">
        <v>80</v>
      </c>
      <c r="T82" t="n">
        <v>-10</v>
      </c>
      <c r="U82" t="n">
        <v>80</v>
      </c>
      <c r="V82" t="n">
        <v>-15</v>
      </c>
    </row>
    <row r="83">
      <c r="P83" t="n">
        <v>81</v>
      </c>
      <c r="Q83" t="n">
        <v>0</v>
      </c>
      <c r="R83" t="n">
        <v>0</v>
      </c>
    </row>
    <row r="84">
      <c r="A84" s="4" t="inlineStr">
        <is>
          <t>INTERPRETATION KEY</t>
        </is>
      </c>
      <c r="P84" t="n">
        <v>82</v>
      </c>
      <c r="Q84" t="n">
        <v>0</v>
      </c>
      <c r="R84" t="n">
        <v>0</v>
      </c>
    </row>
    <row r="85">
      <c r="A85" s="8" t="inlineStr">
        <is>
          <t>BR 85-115</t>
        </is>
      </c>
      <c r="B85" t="inlineStr">
        <is>
          <t>PROMINENT / PATHOLOGICAL</t>
        </is>
      </c>
      <c r="C85" t="inlineStr">
        <is>
          <t>Disorder present - primary focus</t>
        </is>
      </c>
      <c r="P85" t="n">
        <v>83</v>
      </c>
      <c r="Q85" t="n">
        <v>0</v>
      </c>
      <c r="R85" t="n">
        <v>0</v>
      </c>
    </row>
    <row r="86">
      <c r="A86" s="8" t="inlineStr">
        <is>
          <t>BR 75-84</t>
        </is>
      </c>
      <c r="B86" t="inlineStr">
        <is>
          <t>PRESENT / TRAIT LEVEL</t>
        </is>
      </c>
      <c r="C86" t="inlineStr">
        <is>
          <t>Clinically significant features</t>
        </is>
      </c>
      <c r="P86" t="n">
        <v>84</v>
      </c>
      <c r="Q86" t="n">
        <v>0</v>
      </c>
      <c r="R86" t="n">
        <v>0</v>
      </c>
    </row>
    <row r="87">
      <c r="A87" s="8" t="inlineStr">
        <is>
          <t>BR 60-74</t>
        </is>
      </c>
      <c r="B87" t="inlineStr">
        <is>
          <t>Suggestive</t>
        </is>
      </c>
      <c r="C87" t="inlineStr">
        <is>
          <t>Mild/subclinical features - monitor</t>
        </is>
      </c>
      <c r="P87" t="n">
        <v>85</v>
      </c>
      <c r="Q87" t="n">
        <v>0</v>
      </c>
      <c r="R87" t="n">
        <v>0</v>
      </c>
    </row>
    <row r="88">
      <c r="A88" s="8" t="inlineStr">
        <is>
          <t>BR 0-59</t>
        </is>
      </c>
      <c r="B88" t="inlineStr">
        <is>
          <t>Normal</t>
        </is>
      </c>
      <c r="C88" t="inlineStr">
        <is>
          <t>Not clinically significant</t>
        </is>
      </c>
      <c r="P88" t="n">
        <v>86</v>
      </c>
      <c r="Q88" t="n">
        <v>0</v>
      </c>
      <c r="R88" t="n">
        <v>0</v>
      </c>
    </row>
    <row r="89">
      <c r="P89" t="n">
        <v>87</v>
      </c>
      <c r="Q89" t="n">
        <v>0</v>
      </c>
      <c r="R89" t="n">
        <v>0</v>
      </c>
    </row>
    <row r="90">
      <c r="P90" t="n">
        <v>88</v>
      </c>
      <c r="Q90" t="n">
        <v>0</v>
      </c>
      <c r="R90" t="n">
        <v>0</v>
      </c>
    </row>
    <row r="91">
      <c r="A91" s="4" t="inlineStr">
        <is>
          <t>ADJUSTMENT RULES</t>
        </is>
      </c>
      <c r="P91" t="n">
        <v>89</v>
      </c>
      <c r="Q91" t="n">
        <v>0</v>
      </c>
      <c r="R91" t="n">
        <v>0</v>
      </c>
    </row>
    <row r="92">
      <c r="A92" t="inlineStr">
        <is>
          <t>1. Disclosure Adj (Col F): Auto-calculated from Scale X raw score</t>
        </is>
      </c>
      <c r="P92" t="n">
        <v>90</v>
      </c>
      <c r="Q92" t="n">
        <v>0</v>
      </c>
      <c r="R92" t="n">
        <v>0</v>
      </c>
    </row>
    <row r="93">
      <c r="A93" t="inlineStr">
        <is>
          <t xml:space="preserve">   - Scales 1-8B: 1-8B adjustment | Scales S-PP: S-PP adjustment</t>
        </is>
      </c>
      <c r="P93" t="n">
        <v>91</v>
      </c>
      <c r="Q93" t="n">
        <v>0</v>
      </c>
      <c r="R93" t="n">
        <v>0</v>
      </c>
    </row>
    <row r="94">
      <c r="A94" t="inlineStr">
        <is>
          <t>2. A/D Adj (Col G): Auto-calculated when Anxiety or Dysthymia BR+Disc &gt;= 75</t>
        </is>
      </c>
      <c r="P94" t="n">
        <v>92</v>
      </c>
      <c r="Q94" t="n">
        <v>0</v>
      </c>
      <c r="R94" t="n">
        <v>0</v>
      </c>
    </row>
    <row r="95">
      <c r="A95" t="inlineStr">
        <is>
          <t xml:space="preserve">   - Applies to 2A, 2B, 8B, S, C only</t>
        </is>
      </c>
      <c r="P95" t="n">
        <v>93</v>
      </c>
      <c r="Q95" t="n">
        <v>0</v>
      </c>
      <c r="R95" t="n">
        <v>0</v>
      </c>
    </row>
    <row r="96">
      <c r="A96" t="inlineStr">
        <is>
          <t>3. Inpatient Adj (Col H): Auto from Inpatient Y/N and duration</t>
        </is>
      </c>
      <c r="P96" t="n">
        <v>94</v>
      </c>
      <c r="Q96" t="n">
        <v>0</v>
      </c>
      <c r="R96" t="n">
        <v>0</v>
      </c>
    </row>
    <row r="97">
      <c r="A97" t="inlineStr">
        <is>
          <t xml:space="preserve">   - SS: +6(&lt;1wk)/+4(1-4wk) | CC: +10/+8 | PP: +4/+2</t>
        </is>
      </c>
      <c r="P97" t="n">
        <v>95</v>
      </c>
      <c r="Q97" t="n">
        <v>0</v>
      </c>
      <c r="R97" t="n">
        <v>0</v>
      </c>
    </row>
    <row r="98">
      <c r="A98" t="inlineStr">
        <is>
          <t>4. Denial/Complaint (Col I): MANUAL - enter 8 if highest 1-8B is scale 4,5,7</t>
        </is>
      </c>
      <c r="P98" t="n">
        <v>96</v>
      </c>
      <c r="Q98" t="n">
        <v>0</v>
      </c>
      <c r="R98" t="n">
        <v>0</v>
      </c>
    </row>
    <row r="99">
      <c r="A99" t="inlineStr"/>
      <c r="P99" t="n">
        <v>97</v>
      </c>
      <c r="Q99" t="n">
        <v>0</v>
      </c>
      <c r="R99" t="n">
        <v>0</v>
      </c>
    </row>
    <row r="100">
      <c r="A100" t="inlineStr">
        <is>
          <t>HOW TO USE:</t>
        </is>
      </c>
      <c r="P100" t="n">
        <v>98</v>
      </c>
      <c r="Q100" t="n">
        <v>0</v>
      </c>
      <c r="R100" t="n">
        <v>0</v>
      </c>
    </row>
    <row r="101">
      <c r="A101" t="inlineStr">
        <is>
          <t>1. Enter 1 or 0 for all 175 items in the yellow cells above</t>
        </is>
      </c>
      <c r="P101" t="n">
        <v>99</v>
      </c>
      <c r="Q101" t="n">
        <v>0</v>
      </c>
      <c r="R101" t="n">
        <v>0</v>
      </c>
    </row>
    <row r="102">
      <c r="A102" t="inlineStr">
        <is>
          <t>2. Raw scores calculate automatically (Column D in scoring table)</t>
        </is>
      </c>
      <c r="P102" t="n">
        <v>100</v>
      </c>
      <c r="Q102" t="n">
        <v>0</v>
      </c>
      <c r="R102" t="n">
        <v>0</v>
      </c>
    </row>
    <row r="103">
      <c r="A103" t="inlineStr">
        <is>
          <t>3. Look up each raw score in MCMI-III Manual Appendix C</t>
        </is>
      </c>
      <c r="P103" t="n">
        <v>101</v>
      </c>
      <c r="Q103" t="n">
        <v>0</v>
      </c>
      <c r="R103" t="n">
        <v>0</v>
      </c>
    </row>
    <row r="104">
      <c r="A104" t="inlineStr">
        <is>
          <t>4. Enter the BR score in column E (yellow cells)</t>
        </is>
      </c>
      <c r="P104" t="n">
        <v>102</v>
      </c>
      <c r="Q104" t="n">
        <v>0</v>
      </c>
      <c r="R104" t="n">
        <v>0</v>
      </c>
    </row>
    <row r="105">
      <c r="A105" t="inlineStr">
        <is>
          <t>5. All adjustments auto-calculate; Final BR appears in column J</t>
        </is>
      </c>
      <c r="P105" t="n">
        <v>103</v>
      </c>
      <c r="Q105" t="n">
        <v>0</v>
      </c>
      <c r="R105" t="n">
        <v>0</v>
      </c>
    </row>
    <row r="106">
      <c r="A106" t="inlineStr">
        <is>
          <t>6. Check column K for clinical significance</t>
        </is>
      </c>
      <c r="P106" t="n">
        <v>104</v>
      </c>
      <c r="Q106" t="n">
        <v>0</v>
      </c>
      <c r="R106" t="n">
        <v>0</v>
      </c>
    </row>
    <row r="107">
      <c r="P107" t="n">
        <v>105</v>
      </c>
      <c r="Q107" t="n">
        <v>0</v>
      </c>
      <c r="R107" t="n">
        <v>0</v>
      </c>
    </row>
    <row r="108">
      <c r="P108" t="n">
        <v>106</v>
      </c>
      <c r="Q108" t="n">
        <v>0</v>
      </c>
      <c r="R108" t="n">
        <v>0</v>
      </c>
    </row>
    <row r="109">
      <c r="P109" t="n">
        <v>107</v>
      </c>
      <c r="Q109" t="n">
        <v>0</v>
      </c>
      <c r="R109" t="n">
        <v>0</v>
      </c>
    </row>
    <row r="110">
      <c r="P110" t="n">
        <v>108</v>
      </c>
      <c r="Q110" t="n">
        <v>0</v>
      </c>
      <c r="R110" t="n">
        <v>0</v>
      </c>
    </row>
    <row r="111">
      <c r="P111" t="n">
        <v>109</v>
      </c>
      <c r="Q111" t="n">
        <v>0</v>
      </c>
      <c r="R111" t="n">
        <v>0</v>
      </c>
    </row>
    <row r="112">
      <c r="P112" t="n">
        <v>110</v>
      </c>
      <c r="Q112" t="n">
        <v>0</v>
      </c>
      <c r="R112" t="n">
        <v>0</v>
      </c>
    </row>
    <row r="113">
      <c r="P113" t="n">
        <v>111</v>
      </c>
      <c r="Q113" t="n">
        <v>0</v>
      </c>
      <c r="R113" t="n">
        <v>0</v>
      </c>
    </row>
    <row r="114">
      <c r="P114" t="n">
        <v>112</v>
      </c>
      <c r="Q114" t="n">
        <v>0</v>
      </c>
      <c r="R114" t="n">
        <v>0</v>
      </c>
    </row>
    <row r="115">
      <c r="P115" t="n">
        <v>113</v>
      </c>
      <c r="Q115" t="n">
        <v>0</v>
      </c>
      <c r="R115" t="n">
        <v>0</v>
      </c>
    </row>
    <row r="116">
      <c r="P116" t="n">
        <v>114</v>
      </c>
      <c r="Q116" t="n">
        <v>0</v>
      </c>
      <c r="R116" t="n">
        <v>0</v>
      </c>
    </row>
    <row r="117">
      <c r="P117" t="n">
        <v>115</v>
      </c>
      <c r="Q117" t="n">
        <v>0</v>
      </c>
      <c r="R117" t="n">
        <v>0</v>
      </c>
    </row>
    <row r="118">
      <c r="P118" t="n">
        <v>116</v>
      </c>
      <c r="Q118" t="n">
        <v>0</v>
      </c>
      <c r="R118" t="n">
        <v>0</v>
      </c>
    </row>
    <row r="119">
      <c r="P119" t="n">
        <v>117</v>
      </c>
      <c r="Q119" t="n">
        <v>0</v>
      </c>
      <c r="R119" t="n">
        <v>0</v>
      </c>
    </row>
    <row r="120">
      <c r="P120" t="n">
        <v>118</v>
      </c>
      <c r="Q120" t="n">
        <v>0</v>
      </c>
      <c r="R120" t="n">
        <v>0</v>
      </c>
    </row>
    <row r="121">
      <c r="P121" t="n">
        <v>119</v>
      </c>
      <c r="Q121" t="n">
        <v>0</v>
      </c>
      <c r="R121" t="n">
        <v>0</v>
      </c>
    </row>
    <row r="122">
      <c r="P122" t="n">
        <v>120</v>
      </c>
      <c r="Q122" t="n">
        <v>0</v>
      </c>
      <c r="R122" t="n">
        <v>0</v>
      </c>
    </row>
    <row r="123">
      <c r="P123" t="n">
        <v>121</v>
      </c>
      <c r="Q123" t="n">
        <v>0</v>
      </c>
      <c r="R123" t="n">
        <v>0</v>
      </c>
    </row>
    <row r="124">
      <c r="P124" t="n">
        <v>122</v>
      </c>
      <c r="Q124" t="n">
        <v>0</v>
      </c>
      <c r="R124" t="n">
        <v>0</v>
      </c>
    </row>
    <row r="125">
      <c r="P125" t="n">
        <v>123</v>
      </c>
      <c r="Q125" t="n">
        <v>0</v>
      </c>
      <c r="R125" t="n">
        <v>0</v>
      </c>
    </row>
    <row r="126">
      <c r="P126" t="n">
        <v>124</v>
      </c>
      <c r="Q126" t="n">
        <v>-1</v>
      </c>
      <c r="R126" t="n">
        <v>-1</v>
      </c>
    </row>
    <row r="127">
      <c r="P127" t="n">
        <v>125</v>
      </c>
      <c r="Q127" t="n">
        <v>-1</v>
      </c>
      <c r="R127" t="n">
        <v>-1</v>
      </c>
    </row>
    <row r="128">
      <c r="P128" t="n">
        <v>126</v>
      </c>
      <c r="Q128" t="n">
        <v>-1</v>
      </c>
      <c r="R128" t="n">
        <v>-1</v>
      </c>
    </row>
    <row r="129">
      <c r="P129" t="n">
        <v>127</v>
      </c>
      <c r="Q129" t="n">
        <v>-2</v>
      </c>
      <c r="R129" t="n">
        <v>-2</v>
      </c>
    </row>
    <row r="130">
      <c r="P130" t="n">
        <v>128</v>
      </c>
      <c r="Q130" t="n">
        <v>-2</v>
      </c>
      <c r="R130" t="n">
        <v>-2</v>
      </c>
    </row>
    <row r="131">
      <c r="P131" t="n">
        <v>129</v>
      </c>
      <c r="Q131" t="n">
        <v>-3</v>
      </c>
      <c r="R131" t="n">
        <v>-2</v>
      </c>
    </row>
    <row r="132">
      <c r="P132" t="n">
        <v>130</v>
      </c>
      <c r="Q132" t="n">
        <v>-3</v>
      </c>
      <c r="R132" t="n">
        <v>-2</v>
      </c>
    </row>
    <row r="133">
      <c r="P133" t="n">
        <v>131</v>
      </c>
      <c r="Q133" t="n">
        <v>-3</v>
      </c>
      <c r="R133" t="n">
        <v>-2</v>
      </c>
    </row>
    <row r="134">
      <c r="P134" t="n">
        <v>132</v>
      </c>
      <c r="Q134" t="n">
        <v>-4</v>
      </c>
      <c r="R134" t="n">
        <v>-3</v>
      </c>
    </row>
    <row r="135">
      <c r="P135" t="n">
        <v>133</v>
      </c>
      <c r="Q135" t="n">
        <v>-4</v>
      </c>
      <c r="R135" t="n">
        <v>-3</v>
      </c>
    </row>
    <row r="136">
      <c r="P136" t="n">
        <v>134</v>
      </c>
      <c r="Q136" t="n">
        <v>-5</v>
      </c>
      <c r="R136" t="n">
        <v>-3</v>
      </c>
    </row>
    <row r="137">
      <c r="P137" t="n">
        <v>135</v>
      </c>
      <c r="Q137" t="n">
        <v>-5</v>
      </c>
      <c r="R137" t="n">
        <v>-3</v>
      </c>
    </row>
    <row r="138">
      <c r="P138" t="n">
        <v>136</v>
      </c>
      <c r="Q138" t="n">
        <v>-5</v>
      </c>
      <c r="R138" t="n">
        <v>-3</v>
      </c>
    </row>
    <row r="139">
      <c r="P139" t="n">
        <v>137</v>
      </c>
      <c r="Q139" t="n">
        <v>-6</v>
      </c>
      <c r="R139" t="n">
        <v>-4</v>
      </c>
    </row>
    <row r="140">
      <c r="P140" t="n">
        <v>138</v>
      </c>
      <c r="Q140" t="n">
        <v>-6</v>
      </c>
      <c r="R140" t="n">
        <v>-4</v>
      </c>
    </row>
    <row r="141">
      <c r="P141" t="n">
        <v>139</v>
      </c>
      <c r="Q141" t="n">
        <v>-7</v>
      </c>
      <c r="R141" t="n">
        <v>-4</v>
      </c>
    </row>
    <row r="142">
      <c r="P142" t="n">
        <v>140</v>
      </c>
      <c r="Q142" t="n">
        <v>-7</v>
      </c>
      <c r="R142" t="n">
        <v>-4</v>
      </c>
    </row>
    <row r="143">
      <c r="P143" t="n">
        <v>141</v>
      </c>
      <c r="Q143" t="n">
        <v>-7</v>
      </c>
      <c r="R143" t="n">
        <v>-4</v>
      </c>
    </row>
    <row r="144">
      <c r="P144" t="n">
        <v>142</v>
      </c>
      <c r="Q144" t="n">
        <v>-8</v>
      </c>
      <c r="R144" t="n">
        <v>-5</v>
      </c>
    </row>
    <row r="145">
      <c r="P145" t="n">
        <v>143</v>
      </c>
      <c r="Q145" t="n">
        <v>-8</v>
      </c>
      <c r="R145" t="n">
        <v>-5</v>
      </c>
    </row>
    <row r="146">
      <c r="P146" t="n">
        <v>144</v>
      </c>
      <c r="Q146" t="n">
        <v>-9</v>
      </c>
      <c r="R146" t="n">
        <v>-5</v>
      </c>
    </row>
    <row r="147">
      <c r="P147" t="n">
        <v>145</v>
      </c>
      <c r="Q147" t="n">
        <v>-9</v>
      </c>
      <c r="R147" t="n">
        <v>-5</v>
      </c>
    </row>
    <row r="148">
      <c r="P148" t="n">
        <v>146</v>
      </c>
      <c r="Q148" t="n">
        <v>-9</v>
      </c>
      <c r="R148" t="n">
        <v>-5</v>
      </c>
    </row>
    <row r="149">
      <c r="P149" t="n">
        <v>147</v>
      </c>
      <c r="Q149" t="n">
        <v>-10</v>
      </c>
      <c r="R149" t="n">
        <v>-6</v>
      </c>
    </row>
    <row r="150">
      <c r="P150" t="n">
        <v>148</v>
      </c>
      <c r="Q150" t="n">
        <v>-10</v>
      </c>
      <c r="R150" t="n">
        <v>-6</v>
      </c>
    </row>
    <row r="151">
      <c r="P151" t="n">
        <v>149</v>
      </c>
      <c r="Q151" t="n">
        <v>-11</v>
      </c>
      <c r="R151" t="n">
        <v>-6</v>
      </c>
    </row>
    <row r="152">
      <c r="P152" t="n">
        <v>150</v>
      </c>
      <c r="Q152" t="n">
        <v>-11</v>
      </c>
      <c r="R152" t="n">
        <v>-6</v>
      </c>
    </row>
    <row r="153">
      <c r="P153" t="n">
        <v>151</v>
      </c>
      <c r="Q153" t="n">
        <v>-11</v>
      </c>
      <c r="R153" t="n">
        <v>-6</v>
      </c>
    </row>
    <row r="154">
      <c r="P154" t="n">
        <v>152</v>
      </c>
      <c r="Q154" t="n">
        <v>-12</v>
      </c>
      <c r="R154" t="n">
        <v>-7</v>
      </c>
    </row>
    <row r="155">
      <c r="P155" t="n">
        <v>153</v>
      </c>
      <c r="Q155" t="n">
        <v>-12</v>
      </c>
      <c r="R155" t="n">
        <v>-7</v>
      </c>
    </row>
    <row r="156">
      <c r="P156" t="n">
        <v>154</v>
      </c>
      <c r="Q156" t="n">
        <v>-13</v>
      </c>
      <c r="R156" t="n">
        <v>-7</v>
      </c>
    </row>
    <row r="157">
      <c r="P157" t="n">
        <v>155</v>
      </c>
      <c r="Q157" t="n">
        <v>-13</v>
      </c>
      <c r="R157" t="n">
        <v>-7</v>
      </c>
    </row>
    <row r="158">
      <c r="P158" t="n">
        <v>156</v>
      </c>
      <c r="Q158" t="n">
        <v>-13</v>
      </c>
      <c r="R158" t="n">
        <v>-7</v>
      </c>
    </row>
    <row r="159">
      <c r="P159" t="n">
        <v>157</v>
      </c>
      <c r="Q159" t="n">
        <v>-14</v>
      </c>
      <c r="R159" t="n">
        <v>-8</v>
      </c>
    </row>
    <row r="160">
      <c r="P160" t="n">
        <v>158</v>
      </c>
      <c r="Q160" t="n">
        <v>-14</v>
      </c>
      <c r="R160" t="n">
        <v>-8</v>
      </c>
    </row>
    <row r="161">
      <c r="P161" t="n">
        <v>159</v>
      </c>
      <c r="Q161" t="n">
        <v>-15</v>
      </c>
      <c r="R161" t="n">
        <v>-8</v>
      </c>
    </row>
    <row r="162">
      <c r="P162" t="n">
        <v>160</v>
      </c>
      <c r="Q162" t="n">
        <v>-15</v>
      </c>
      <c r="R162" t="n">
        <v>-8</v>
      </c>
    </row>
    <row r="163">
      <c r="P163" t="n">
        <v>161</v>
      </c>
      <c r="Q163" t="n">
        <v>-15</v>
      </c>
      <c r="R163" t="n">
        <v>-8</v>
      </c>
    </row>
    <row r="164">
      <c r="P164" t="n">
        <v>162</v>
      </c>
      <c r="Q164" t="n">
        <v>-16</v>
      </c>
      <c r="R164" t="n">
        <v>-9</v>
      </c>
    </row>
    <row r="165">
      <c r="P165" t="n">
        <v>163</v>
      </c>
      <c r="Q165" t="n">
        <v>-16</v>
      </c>
      <c r="R165" t="n">
        <v>-9</v>
      </c>
    </row>
    <row r="166">
      <c r="P166" t="n">
        <v>164</v>
      </c>
      <c r="Q166" t="n">
        <v>-17</v>
      </c>
      <c r="R166" t="n">
        <v>-9</v>
      </c>
    </row>
    <row r="167">
      <c r="P167" t="n">
        <v>165</v>
      </c>
      <c r="Q167" t="n">
        <v>-17</v>
      </c>
      <c r="R167" t="n">
        <v>-9</v>
      </c>
    </row>
    <row r="168">
      <c r="P168" t="n">
        <v>166</v>
      </c>
      <c r="Q168" t="n">
        <v>-17</v>
      </c>
      <c r="R168" t="n">
        <v>-9</v>
      </c>
    </row>
    <row r="169">
      <c r="P169" t="n">
        <v>167</v>
      </c>
      <c r="Q169" t="n">
        <v>-18</v>
      </c>
      <c r="R169" t="n">
        <v>-10</v>
      </c>
    </row>
    <row r="170">
      <c r="P170" t="n">
        <v>168</v>
      </c>
      <c r="Q170" t="n">
        <v>-18</v>
      </c>
      <c r="R170" t="n">
        <v>-10</v>
      </c>
    </row>
    <row r="171">
      <c r="P171" t="n">
        <v>169</v>
      </c>
      <c r="Q171" t="n">
        <v>-19</v>
      </c>
      <c r="R171" t="n">
        <v>-10</v>
      </c>
    </row>
    <row r="172">
      <c r="P172" t="n">
        <v>170</v>
      </c>
      <c r="Q172" t="n">
        <v>-19</v>
      </c>
      <c r="R172" t="n">
        <v>-10</v>
      </c>
    </row>
    <row r="173">
      <c r="P173" t="n">
        <v>171</v>
      </c>
      <c r="Q173" t="n">
        <v>-19</v>
      </c>
      <c r="R173" t="n">
        <v>-10</v>
      </c>
    </row>
    <row r="174">
      <c r="P174" t="n">
        <v>172</v>
      </c>
      <c r="Q174" t="n">
        <v>-20</v>
      </c>
      <c r="R174" t="n">
        <v>-11</v>
      </c>
    </row>
    <row r="175">
      <c r="P175" t="n">
        <v>173</v>
      </c>
      <c r="Q175" t="n">
        <v>-20</v>
      </c>
      <c r="R175" t="n">
        <v>-11</v>
      </c>
    </row>
    <row r="176">
      <c r="P176" t="n">
        <v>174</v>
      </c>
      <c r="Q176" t="n">
        <v>-20</v>
      </c>
      <c r="R176" t="n">
        <v>-11</v>
      </c>
    </row>
    <row r="177">
      <c r="P177" t="n">
        <v>175</v>
      </c>
      <c r="Q177" t="n">
        <v>-20</v>
      </c>
      <c r="R177" t="n">
        <v>-11</v>
      </c>
    </row>
    <row r="178">
      <c r="P178" t="n">
        <v>176</v>
      </c>
      <c r="Q178" t="n">
        <v>-20</v>
      </c>
      <c r="R178" t="n">
        <v>-11</v>
      </c>
    </row>
    <row r="179">
      <c r="P179" t="n">
        <v>177</v>
      </c>
      <c r="Q179" t="n">
        <v>-20</v>
      </c>
      <c r="R179" t="n">
        <v>-11</v>
      </c>
    </row>
    <row r="180">
      <c r="P180" t="n">
        <v>178</v>
      </c>
      <c r="Q180" t="n">
        <v>-20</v>
      </c>
      <c r="R180" t="n">
        <v>-11</v>
      </c>
    </row>
    <row r="181">
      <c r="P181" t="n">
        <v>179</v>
      </c>
      <c r="Q181" t="n">
        <v>-20</v>
      </c>
      <c r="R181" t="n">
        <v>-11</v>
      </c>
    </row>
    <row r="182">
      <c r="P182" t="n">
        <v>180</v>
      </c>
      <c r="Q182" t="n">
        <v>-20</v>
      </c>
      <c r="R182" t="n">
        <v>-11</v>
      </c>
    </row>
    <row r="183">
      <c r="P183" t="n">
        <v>181</v>
      </c>
      <c r="Q183" t="n">
        <v>-20</v>
      </c>
      <c r="R183" t="n">
        <v>-11</v>
      </c>
    </row>
    <row r="184">
      <c r="P184" t="n">
        <v>182</v>
      </c>
      <c r="Q184" t="n">
        <v>-20</v>
      </c>
      <c r="R184" t="n">
        <v>-11</v>
      </c>
    </row>
    <row r="185">
      <c r="P185" t="n">
        <v>183</v>
      </c>
      <c r="Q185" t="n">
        <v>-20</v>
      </c>
      <c r="R185" t="n">
        <v>-11</v>
      </c>
    </row>
    <row r="186">
      <c r="P186" t="n">
        <v>184</v>
      </c>
      <c r="Q186" t="n">
        <v>-20</v>
      </c>
      <c r="R186" t="n">
        <v>-11</v>
      </c>
    </row>
    <row r="187">
      <c r="P187" t="n">
        <v>185</v>
      </c>
      <c r="Q187" t="n">
        <v>-20</v>
      </c>
      <c r="R187" t="n">
        <v>-11</v>
      </c>
    </row>
    <row r="188">
      <c r="P188" t="n">
        <v>186</v>
      </c>
      <c r="Q188" t="n">
        <v>-20</v>
      </c>
      <c r="R188" t="n">
        <v>-11</v>
      </c>
    </row>
    <row r="189">
      <c r="P189" t="n">
        <v>187</v>
      </c>
      <c r="Q189" t="n">
        <v>-20</v>
      </c>
      <c r="R189" t="n">
        <v>-11</v>
      </c>
    </row>
    <row r="190">
      <c r="P190" t="n">
        <v>188</v>
      </c>
      <c r="Q190" t="n">
        <v>-20</v>
      </c>
      <c r="R190" t="n">
        <v>-11</v>
      </c>
    </row>
    <row r="191">
      <c r="P191" t="n">
        <v>189</v>
      </c>
      <c r="Q191" t="n">
        <v>-20</v>
      </c>
      <c r="R191" t="n">
        <v>-11</v>
      </c>
    </row>
    <row r="192">
      <c r="P192" t="n">
        <v>190</v>
      </c>
      <c r="Q192" t="n">
        <v>-20</v>
      </c>
      <c r="R192" t="n">
        <v>-11</v>
      </c>
    </row>
    <row r="193">
      <c r="P193" t="n">
        <v>191</v>
      </c>
      <c r="Q193" t="n">
        <v>-20</v>
      </c>
      <c r="R193" t="n">
        <v>-11</v>
      </c>
    </row>
    <row r="194">
      <c r="P194" t="n">
        <v>192</v>
      </c>
      <c r="Q194" t="n">
        <v>-20</v>
      </c>
      <c r="R194" t="n">
        <v>-11</v>
      </c>
    </row>
    <row r="195">
      <c r="P195" t="n">
        <v>193</v>
      </c>
      <c r="Q195" t="n">
        <v>-20</v>
      </c>
      <c r="R195" t="n">
        <v>-11</v>
      </c>
    </row>
    <row r="196">
      <c r="P196" t="n">
        <v>194</v>
      </c>
      <c r="Q196" t="n">
        <v>-20</v>
      </c>
      <c r="R196" t="n">
        <v>-11</v>
      </c>
    </row>
    <row r="197">
      <c r="P197" t="n">
        <v>195</v>
      </c>
      <c r="Q197" t="n">
        <v>-20</v>
      </c>
      <c r="R197" t="n">
        <v>-11</v>
      </c>
    </row>
    <row r="198">
      <c r="P198" t="n">
        <v>196</v>
      </c>
      <c r="Q198" t="n">
        <v>-20</v>
      </c>
      <c r="R198" t="n">
        <v>-11</v>
      </c>
    </row>
    <row r="199">
      <c r="P199" t="n">
        <v>197</v>
      </c>
      <c r="Q199" t="n">
        <v>-20</v>
      </c>
      <c r="R199" t="n">
        <v>-11</v>
      </c>
    </row>
    <row r="200">
      <c r="P200" t="n">
        <v>198</v>
      </c>
      <c r="Q200" t="n">
        <v>-20</v>
      </c>
      <c r="R200" t="n">
        <v>-11</v>
      </c>
    </row>
    <row r="201">
      <c r="P201" t="n">
        <v>199</v>
      </c>
      <c r="Q201" t="n">
        <v>-20</v>
      </c>
      <c r="R201" t="n">
        <v>-11</v>
      </c>
    </row>
  </sheetData>
  <conditionalFormatting sqref="J51:J77">
    <cfRule type="cellIs" priority="1" operator="greaterThanOrEqual" dxfId="0">
      <formula>85</formula>
    </cfRule>
    <cfRule type="cellIs" priority="2" operator="between" dxfId="1">
      <formula>75</formula>
      <formula>84</formula>
    </cfRule>
    <cfRule type="cellIs" priority="3" operator="lessThan" dxfId="2">
      <formula>60</formula>
    </cfRule>
  </conditionalFormatting>
  <conditionalFormatting sqref="K51:K77">
    <cfRule type="cellIs" priority="4" operator="equal" dxfId="0">
      <formula>"PROMINENT"</formula>
    </cfRule>
    <cfRule type="cellIs" priority="5" operator="equal" dxfId="1">
      <formula>"PRESENT"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2026-07-22T10:33:48Z</dcterms:created>
  <dcterms:modified xsi:type="dcterms:W3CDTF">2026-07-22T10:33:48Z</dcterms:modified>
</cp:coreProperties>
</file>