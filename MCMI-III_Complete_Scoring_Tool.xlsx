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_Responses" sheetId="1" state="visible" r:id="rId1"/>
    <sheet name="Raw_Scores" sheetId="2" state="visible" r:id="rId2"/>
    <sheet name="Disclosure_Table" sheetId="3" state="visible" r:id="rId3"/>
    <sheet name="AD_2AS" sheetId="4" state="visible" r:id="rId4"/>
    <sheet name="AD_2B8BC" sheetId="5" state="visible" r:id="rId5"/>
    <sheet name="Scoring_Results" sheetId="6" state="visible" r:id="rId6"/>
    <sheet name="Grossman_Facets" sheetId="7" state="visible" r:id="rId7"/>
    <sheet name="Inconsistency_W" sheetId="8" state="visible" r:id="rId8"/>
    <sheet name="Profile_Summary" sheetId="9" state="visible" r:id="rId9"/>
    <sheet name="BR_Score_Guide" sheetId="10" state="visible" r:id="rId10"/>
    <sheet name="Instruction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b val="1"/>
      <color rgb="00FFFFFF"/>
      <sz val="11"/>
    </font>
    <font>
      <b val="1"/>
    </font>
    <font>
      <b val="1"/>
      <sz val="12"/>
    </font>
    <font>
      <name val="Consolas"/>
      <sz val="9"/>
    </font>
  </fonts>
  <fills count="9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E8E8E8"/>
        <bgColor rgb="00E8E8E8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3" borderId="0" pivotButton="0" quotePrefix="0" xfId="0"/>
    <xf numFmtId="0" fontId="0" fillId="2" borderId="1" pivotButton="0" quotePrefix="0" xfId="0"/>
    <xf numFmtId="0" fontId="3" fillId="3" borderId="0" applyAlignment="1" pivotButton="0" quotePrefix="0" xfId="0">
      <alignment horizontal="center" wrapText="1"/>
    </xf>
    <xf numFmtId="0" fontId="4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5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6" borderId="1" pivotButton="0" quotePrefix="0" xfId="0"/>
    <xf numFmtId="0" fontId="0" fillId="2" borderId="1" applyAlignment="1" pivotButton="0" quotePrefix="0" xfId="0">
      <alignment horizontal="center"/>
    </xf>
    <xf numFmtId="0" fontId="5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5" fillId="4" borderId="0" pivotButton="0" quotePrefix="0" xfId="0"/>
    <xf numFmtId="0" fontId="4" fillId="0" borderId="0" pivotButton="0" quotePrefix="0" xfId="0"/>
    <xf numFmtId="0" fontId="6" fillId="0" borderId="1" pivotButton="0" quotePrefix="0" xfId="0"/>
    <xf numFmtId="0" fontId="0" fillId="7" borderId="0" pivotButton="0" quotePrefix="0" xfId="0"/>
    <xf numFmtId="0" fontId="0" fillId="8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" customWidth="1" min="3" max="3"/>
    <col width="12" customWidth="1" min="4" max="4"/>
    <col width="20" customWidth="1" min="5" max="5"/>
    <col width="4" customWidth="1" min="6" max="6"/>
    <col width="12" customWidth="1" min="7" max="7"/>
    <col width="20" customWidth="1" min="8" max="8"/>
  </cols>
  <sheetData>
    <row r="1">
      <c r="A1" s="1" t="inlineStr">
        <is>
          <t>MCMI-III SCORING TOOL - ITEM RESPONSE INPUT</t>
        </is>
      </c>
    </row>
    <row r="2">
      <c r="A2" s="2" t="inlineStr">
        <is>
          <t>Enter 1 for TRUE, 0 for FALSE for each of the 175 items</t>
        </is>
      </c>
    </row>
    <row r="4">
      <c r="A4" t="inlineStr">
        <is>
          <t>Patient Name:</t>
        </is>
      </c>
      <c r="B4" s="3" t="n"/>
      <c r="D4" t="inlineStr">
        <is>
          <t>Date:</t>
        </is>
      </c>
      <c r="E4" s="3" t="n"/>
      <c r="G4" t="inlineStr">
        <is>
          <t>Age:</t>
        </is>
      </c>
      <c r="H4" s="3" t="n"/>
    </row>
    <row r="5">
      <c r="A5" t="inlineStr">
        <is>
          <t>Gender (M/F):</t>
        </is>
      </c>
      <c r="B5" s="3" t="n"/>
      <c r="D5" t="inlineStr">
        <is>
          <t>Setting:</t>
        </is>
      </c>
      <c r="E5" s="3" t="n"/>
      <c r="G5" t="inlineStr">
        <is>
          <t>Examiner:</t>
        </is>
      </c>
      <c r="H5" s="3" t="n"/>
    </row>
    <row r="6">
      <c r="A6" t="inlineStr">
        <is>
          <t>Inpatient (Y/N):</t>
        </is>
      </c>
      <c r="B6" s="3" t="n"/>
      <c r="D6" t="inlineStr">
        <is>
          <t>Axis I Duration (weeks):</t>
        </is>
      </c>
      <c r="E6" s="3" t="n"/>
    </row>
    <row r="8">
      <c r="A8" s="4" t="inlineStr">
        <is>
          <t>Item #</t>
        </is>
      </c>
      <c r="B8" s="4" t="inlineStr">
        <is>
          <t>Response (1=T, 0=F)</t>
        </is>
      </c>
      <c r="D8" s="4" t="inlineStr">
        <is>
          <t>Item #</t>
        </is>
      </c>
      <c r="E8" s="4" t="inlineStr">
        <is>
          <t>Response (1=T, 0=F)</t>
        </is>
      </c>
      <c r="G8" s="4" t="inlineStr">
        <is>
          <t>Item #</t>
        </is>
      </c>
      <c r="H8" s="4" t="inlineStr">
        <is>
          <t>Response (1=T, 0=F)</t>
        </is>
      </c>
    </row>
    <row r="9">
      <c r="A9" t="n">
        <v>1</v>
      </c>
      <c r="B9" s="5" t="n"/>
      <c r="D9" t="n">
        <v>61</v>
      </c>
      <c r="E9" s="5" t="n"/>
      <c r="G9" t="n">
        <v>121</v>
      </c>
      <c r="H9" s="5" t="n"/>
    </row>
    <row r="10">
      <c r="A10" t="n">
        <v>2</v>
      </c>
      <c r="B10" s="5" t="n"/>
      <c r="D10" t="n">
        <v>62</v>
      </c>
      <c r="E10" s="5" t="n"/>
      <c r="G10" t="n">
        <v>122</v>
      </c>
      <c r="H10" s="5" t="n"/>
    </row>
    <row r="11">
      <c r="A11" t="n">
        <v>3</v>
      </c>
      <c r="B11" s="5" t="n"/>
      <c r="D11" t="n">
        <v>63</v>
      </c>
      <c r="E11" s="5" t="n"/>
      <c r="G11" t="n">
        <v>123</v>
      </c>
      <c r="H11" s="5" t="n"/>
    </row>
    <row r="12">
      <c r="A12" t="n">
        <v>4</v>
      </c>
      <c r="B12" s="5" t="n"/>
      <c r="D12" t="n">
        <v>64</v>
      </c>
      <c r="E12" s="5" t="n"/>
      <c r="G12" t="n">
        <v>124</v>
      </c>
      <c r="H12" s="5" t="n"/>
    </row>
    <row r="13">
      <c r="A13" t="n">
        <v>5</v>
      </c>
      <c r="B13" s="5" t="n"/>
      <c r="D13" t="n">
        <v>65</v>
      </c>
      <c r="E13" s="5" t="n"/>
      <c r="G13" t="n">
        <v>125</v>
      </c>
      <c r="H13" s="5" t="n"/>
    </row>
    <row r="14">
      <c r="A14" t="n">
        <v>6</v>
      </c>
      <c r="B14" s="5" t="n"/>
      <c r="D14" t="n">
        <v>66</v>
      </c>
      <c r="E14" s="5" t="n"/>
      <c r="G14" t="n">
        <v>126</v>
      </c>
      <c r="H14" s="5" t="n"/>
    </row>
    <row r="15">
      <c r="A15" t="n">
        <v>7</v>
      </c>
      <c r="B15" s="5" t="n"/>
      <c r="D15" t="n">
        <v>67</v>
      </c>
      <c r="E15" s="5" t="n"/>
      <c r="G15" t="n">
        <v>127</v>
      </c>
      <c r="H15" s="5" t="n"/>
    </row>
    <row r="16">
      <c r="A16" t="n">
        <v>8</v>
      </c>
      <c r="B16" s="5" t="n"/>
      <c r="D16" t="n">
        <v>68</v>
      </c>
      <c r="E16" s="5" t="n"/>
      <c r="G16" t="n">
        <v>128</v>
      </c>
      <c r="H16" s="5" t="n"/>
    </row>
    <row r="17">
      <c r="A17" t="n">
        <v>9</v>
      </c>
      <c r="B17" s="5" t="n"/>
      <c r="D17" t="n">
        <v>69</v>
      </c>
      <c r="E17" s="5" t="n"/>
      <c r="G17" t="n">
        <v>129</v>
      </c>
      <c r="H17" s="5" t="n"/>
    </row>
    <row r="18">
      <c r="A18" t="n">
        <v>10</v>
      </c>
      <c r="B18" s="5" t="n"/>
      <c r="D18" t="n">
        <v>70</v>
      </c>
      <c r="E18" s="5" t="n"/>
      <c r="G18" t="n">
        <v>130</v>
      </c>
      <c r="H18" s="5" t="n"/>
    </row>
    <row r="19">
      <c r="A19" t="n">
        <v>11</v>
      </c>
      <c r="B19" s="5" t="n"/>
      <c r="D19" t="n">
        <v>71</v>
      </c>
      <c r="E19" s="5" t="n"/>
      <c r="G19" t="n">
        <v>131</v>
      </c>
      <c r="H19" s="5" t="n"/>
    </row>
    <row r="20">
      <c r="A20" t="n">
        <v>12</v>
      </c>
      <c r="B20" s="5" t="n"/>
      <c r="D20" t="n">
        <v>72</v>
      </c>
      <c r="E20" s="5" t="n"/>
      <c r="G20" t="n">
        <v>132</v>
      </c>
      <c r="H20" s="5" t="n"/>
    </row>
    <row r="21">
      <c r="A21" t="n">
        <v>13</v>
      </c>
      <c r="B21" s="5" t="n"/>
      <c r="D21" t="n">
        <v>73</v>
      </c>
      <c r="E21" s="5" t="n"/>
      <c r="G21" t="n">
        <v>133</v>
      </c>
      <c r="H21" s="5" t="n"/>
    </row>
    <row r="22">
      <c r="A22" t="n">
        <v>14</v>
      </c>
      <c r="B22" s="5" t="n"/>
      <c r="D22" t="n">
        <v>74</v>
      </c>
      <c r="E22" s="5" t="n"/>
      <c r="G22" t="n">
        <v>134</v>
      </c>
      <c r="H22" s="5" t="n"/>
    </row>
    <row r="23">
      <c r="A23" t="n">
        <v>15</v>
      </c>
      <c r="B23" s="5" t="n"/>
      <c r="D23" t="n">
        <v>75</v>
      </c>
      <c r="E23" s="5" t="n"/>
      <c r="G23" t="n">
        <v>135</v>
      </c>
      <c r="H23" s="5" t="n"/>
    </row>
    <row r="24">
      <c r="A24" t="n">
        <v>16</v>
      </c>
      <c r="B24" s="5" t="n"/>
      <c r="D24" t="n">
        <v>76</v>
      </c>
      <c r="E24" s="5" t="n"/>
      <c r="G24" t="n">
        <v>136</v>
      </c>
      <c r="H24" s="5" t="n"/>
    </row>
    <row r="25">
      <c r="A25" t="n">
        <v>17</v>
      </c>
      <c r="B25" s="5" t="n"/>
      <c r="D25" t="n">
        <v>77</v>
      </c>
      <c r="E25" s="5" t="n"/>
      <c r="G25" t="n">
        <v>137</v>
      </c>
      <c r="H25" s="5" t="n"/>
    </row>
    <row r="26">
      <c r="A26" t="n">
        <v>18</v>
      </c>
      <c r="B26" s="5" t="n"/>
      <c r="D26" t="n">
        <v>78</v>
      </c>
      <c r="E26" s="5" t="n"/>
      <c r="G26" t="n">
        <v>138</v>
      </c>
      <c r="H26" s="5" t="n"/>
    </row>
    <row r="27">
      <c r="A27" t="n">
        <v>19</v>
      </c>
      <c r="B27" s="5" t="n"/>
      <c r="D27" t="n">
        <v>79</v>
      </c>
      <c r="E27" s="5" t="n"/>
      <c r="G27" t="n">
        <v>139</v>
      </c>
      <c r="H27" s="5" t="n"/>
    </row>
    <row r="28">
      <c r="A28" t="n">
        <v>20</v>
      </c>
      <c r="B28" s="5" t="n"/>
      <c r="D28" t="n">
        <v>80</v>
      </c>
      <c r="E28" s="5" t="n"/>
      <c r="G28" t="n">
        <v>140</v>
      </c>
      <c r="H28" s="5" t="n"/>
    </row>
    <row r="29">
      <c r="A29" t="n">
        <v>21</v>
      </c>
      <c r="B29" s="5" t="n"/>
      <c r="D29" t="n">
        <v>81</v>
      </c>
      <c r="E29" s="5" t="n"/>
      <c r="G29" t="n">
        <v>141</v>
      </c>
      <c r="H29" s="5" t="n"/>
    </row>
    <row r="30">
      <c r="A30" t="n">
        <v>22</v>
      </c>
      <c r="B30" s="5" t="n"/>
      <c r="D30" t="n">
        <v>82</v>
      </c>
      <c r="E30" s="5" t="n"/>
      <c r="G30" t="n">
        <v>142</v>
      </c>
      <c r="H30" s="5" t="n"/>
    </row>
    <row r="31">
      <c r="A31" t="n">
        <v>23</v>
      </c>
      <c r="B31" s="5" t="n"/>
      <c r="D31" t="n">
        <v>83</v>
      </c>
      <c r="E31" s="5" t="n"/>
      <c r="G31" t="n">
        <v>143</v>
      </c>
      <c r="H31" s="5" t="n"/>
    </row>
    <row r="32">
      <c r="A32" t="n">
        <v>24</v>
      </c>
      <c r="B32" s="5" t="n"/>
      <c r="D32" t="n">
        <v>84</v>
      </c>
      <c r="E32" s="5" t="n"/>
      <c r="G32" t="n">
        <v>144</v>
      </c>
      <c r="H32" s="5" t="n"/>
    </row>
    <row r="33">
      <c r="A33" t="n">
        <v>25</v>
      </c>
      <c r="B33" s="5" t="n"/>
      <c r="D33" t="n">
        <v>85</v>
      </c>
      <c r="E33" s="5" t="n"/>
      <c r="G33" t="n">
        <v>145</v>
      </c>
      <c r="H33" s="5" t="n"/>
    </row>
    <row r="34">
      <c r="A34" t="n">
        <v>26</v>
      </c>
      <c r="B34" s="5" t="n"/>
      <c r="D34" t="n">
        <v>86</v>
      </c>
      <c r="E34" s="5" t="n"/>
      <c r="G34" t="n">
        <v>146</v>
      </c>
      <c r="H34" s="5" t="n"/>
    </row>
    <row r="35">
      <c r="A35" t="n">
        <v>27</v>
      </c>
      <c r="B35" s="5" t="n"/>
      <c r="D35" t="n">
        <v>87</v>
      </c>
      <c r="E35" s="5" t="n"/>
      <c r="G35" t="n">
        <v>147</v>
      </c>
      <c r="H35" s="5" t="n"/>
    </row>
    <row r="36">
      <c r="A36" t="n">
        <v>28</v>
      </c>
      <c r="B36" s="5" t="n"/>
      <c r="D36" t="n">
        <v>88</v>
      </c>
      <c r="E36" s="5" t="n"/>
      <c r="G36" t="n">
        <v>148</v>
      </c>
      <c r="H36" s="5" t="n"/>
    </row>
    <row r="37">
      <c r="A37" t="n">
        <v>29</v>
      </c>
      <c r="B37" s="5" t="n"/>
      <c r="D37" t="n">
        <v>89</v>
      </c>
      <c r="E37" s="5" t="n"/>
      <c r="G37" t="n">
        <v>149</v>
      </c>
      <c r="H37" s="5" t="n"/>
    </row>
    <row r="38">
      <c r="A38" t="n">
        <v>30</v>
      </c>
      <c r="B38" s="5" t="n"/>
      <c r="D38" t="n">
        <v>90</v>
      </c>
      <c r="E38" s="5" t="n"/>
      <c r="G38" t="n">
        <v>150</v>
      </c>
      <c r="H38" s="5" t="n"/>
    </row>
    <row r="39">
      <c r="A39" t="n">
        <v>31</v>
      </c>
      <c r="B39" s="5" t="n"/>
      <c r="D39" t="n">
        <v>91</v>
      </c>
      <c r="E39" s="5" t="n"/>
      <c r="G39" t="n">
        <v>151</v>
      </c>
      <c r="H39" s="5" t="n"/>
    </row>
    <row r="40">
      <c r="A40" t="n">
        <v>32</v>
      </c>
      <c r="B40" s="5" t="n"/>
      <c r="D40" t="n">
        <v>92</v>
      </c>
      <c r="E40" s="5" t="n"/>
      <c r="G40" t="n">
        <v>152</v>
      </c>
      <c r="H40" s="5" t="n"/>
    </row>
    <row r="41">
      <c r="A41" t="n">
        <v>33</v>
      </c>
      <c r="B41" s="5" t="n"/>
      <c r="D41" t="n">
        <v>93</v>
      </c>
      <c r="E41" s="5" t="n"/>
      <c r="G41" t="n">
        <v>153</v>
      </c>
      <c r="H41" s="5" t="n"/>
    </row>
    <row r="42">
      <c r="A42" t="n">
        <v>34</v>
      </c>
      <c r="B42" s="5" t="n"/>
      <c r="D42" t="n">
        <v>94</v>
      </c>
      <c r="E42" s="5" t="n"/>
      <c r="G42" t="n">
        <v>154</v>
      </c>
      <c r="H42" s="5" t="n"/>
    </row>
    <row r="43">
      <c r="A43" t="n">
        <v>35</v>
      </c>
      <c r="B43" s="5" t="n"/>
      <c r="D43" t="n">
        <v>95</v>
      </c>
      <c r="E43" s="5" t="n"/>
      <c r="G43" t="n">
        <v>155</v>
      </c>
      <c r="H43" s="5" t="n"/>
    </row>
    <row r="44">
      <c r="A44" t="n">
        <v>36</v>
      </c>
      <c r="B44" s="5" t="n"/>
      <c r="D44" t="n">
        <v>96</v>
      </c>
      <c r="E44" s="5" t="n"/>
      <c r="G44" t="n">
        <v>156</v>
      </c>
      <c r="H44" s="5" t="n"/>
    </row>
    <row r="45">
      <c r="A45" t="n">
        <v>37</v>
      </c>
      <c r="B45" s="5" t="n"/>
      <c r="D45" t="n">
        <v>97</v>
      </c>
      <c r="E45" s="5" t="n"/>
      <c r="G45" t="n">
        <v>157</v>
      </c>
      <c r="H45" s="5" t="n"/>
    </row>
    <row r="46">
      <c r="A46" t="n">
        <v>38</v>
      </c>
      <c r="B46" s="5" t="n"/>
      <c r="D46" t="n">
        <v>98</v>
      </c>
      <c r="E46" s="5" t="n"/>
      <c r="G46" t="n">
        <v>158</v>
      </c>
      <c r="H46" s="5" t="n"/>
    </row>
    <row r="47">
      <c r="A47" t="n">
        <v>39</v>
      </c>
      <c r="B47" s="5" t="n"/>
      <c r="D47" t="n">
        <v>99</v>
      </c>
      <c r="E47" s="5" t="n"/>
      <c r="G47" t="n">
        <v>159</v>
      </c>
      <c r="H47" s="5" t="n"/>
    </row>
    <row r="48">
      <c r="A48" t="n">
        <v>40</v>
      </c>
      <c r="B48" s="5" t="n"/>
      <c r="D48" t="n">
        <v>100</v>
      </c>
      <c r="E48" s="5" t="n"/>
      <c r="G48" t="n">
        <v>160</v>
      </c>
      <c r="H48" s="5" t="n"/>
    </row>
    <row r="49">
      <c r="A49" t="n">
        <v>41</v>
      </c>
      <c r="B49" s="5" t="n"/>
      <c r="D49" t="n">
        <v>101</v>
      </c>
      <c r="E49" s="5" t="n"/>
      <c r="G49" t="n">
        <v>161</v>
      </c>
      <c r="H49" s="5" t="n"/>
    </row>
    <row r="50">
      <c r="A50" t="n">
        <v>42</v>
      </c>
      <c r="B50" s="5" t="n"/>
      <c r="D50" t="n">
        <v>102</v>
      </c>
      <c r="E50" s="5" t="n"/>
      <c r="G50" t="n">
        <v>162</v>
      </c>
      <c r="H50" s="5" t="n"/>
    </row>
    <row r="51">
      <c r="A51" t="n">
        <v>43</v>
      </c>
      <c r="B51" s="5" t="n"/>
      <c r="D51" t="n">
        <v>103</v>
      </c>
      <c r="E51" s="5" t="n"/>
      <c r="G51" t="n">
        <v>163</v>
      </c>
      <c r="H51" s="5" t="n"/>
    </row>
    <row r="52">
      <c r="A52" t="n">
        <v>44</v>
      </c>
      <c r="B52" s="5" t="n"/>
      <c r="D52" t="n">
        <v>104</v>
      </c>
      <c r="E52" s="5" t="n"/>
      <c r="G52" t="n">
        <v>164</v>
      </c>
      <c r="H52" s="5" t="n"/>
    </row>
    <row r="53">
      <c r="A53" t="n">
        <v>45</v>
      </c>
      <c r="B53" s="5" t="n"/>
      <c r="D53" t="n">
        <v>105</v>
      </c>
      <c r="E53" s="5" t="n"/>
      <c r="G53" t="n">
        <v>165</v>
      </c>
      <c r="H53" s="5" t="n"/>
    </row>
    <row r="54">
      <c r="A54" t="n">
        <v>46</v>
      </c>
      <c r="B54" s="5" t="n"/>
      <c r="D54" t="n">
        <v>106</v>
      </c>
      <c r="E54" s="5" t="n"/>
      <c r="G54" t="n">
        <v>166</v>
      </c>
      <c r="H54" s="5" t="n"/>
    </row>
    <row r="55">
      <c r="A55" t="n">
        <v>47</v>
      </c>
      <c r="B55" s="5" t="n"/>
      <c r="D55" t="n">
        <v>107</v>
      </c>
      <c r="E55" s="5" t="n"/>
      <c r="G55" t="n">
        <v>167</v>
      </c>
      <c r="H55" s="5" t="n"/>
    </row>
    <row r="56">
      <c r="A56" t="n">
        <v>48</v>
      </c>
      <c r="B56" s="5" t="n"/>
      <c r="D56" t="n">
        <v>108</v>
      </c>
      <c r="E56" s="5" t="n"/>
      <c r="G56" t="n">
        <v>168</v>
      </c>
      <c r="H56" s="5" t="n"/>
    </row>
    <row r="57">
      <c r="A57" t="n">
        <v>49</v>
      </c>
      <c r="B57" s="5" t="n"/>
      <c r="D57" t="n">
        <v>109</v>
      </c>
      <c r="E57" s="5" t="n"/>
      <c r="G57" t="n">
        <v>169</v>
      </c>
      <c r="H57" s="5" t="n"/>
    </row>
    <row r="58">
      <c r="A58" t="n">
        <v>50</v>
      </c>
      <c r="B58" s="5" t="n"/>
      <c r="D58" t="n">
        <v>110</v>
      </c>
      <c r="E58" s="5" t="n"/>
      <c r="G58" t="n">
        <v>170</v>
      </c>
      <c r="H58" s="5" t="n"/>
    </row>
    <row r="59">
      <c r="A59" t="n">
        <v>51</v>
      </c>
      <c r="B59" s="5" t="n"/>
      <c r="D59" t="n">
        <v>111</v>
      </c>
      <c r="E59" s="5" t="n"/>
      <c r="G59" t="n">
        <v>171</v>
      </c>
      <c r="H59" s="5" t="n"/>
    </row>
    <row r="60">
      <c r="A60" t="n">
        <v>52</v>
      </c>
      <c r="B60" s="5" t="n"/>
      <c r="D60" t="n">
        <v>112</v>
      </c>
      <c r="E60" s="5" t="n"/>
      <c r="G60" t="n">
        <v>172</v>
      </c>
      <c r="H60" s="5" t="n"/>
    </row>
    <row r="61">
      <c r="A61" t="n">
        <v>53</v>
      </c>
      <c r="B61" s="5" t="n"/>
      <c r="D61" t="n">
        <v>113</v>
      </c>
      <c r="E61" s="5" t="n"/>
      <c r="G61" t="n">
        <v>173</v>
      </c>
      <c r="H61" s="5" t="n"/>
    </row>
    <row r="62">
      <c r="A62" t="n">
        <v>54</v>
      </c>
      <c r="B62" s="5" t="n"/>
      <c r="D62" t="n">
        <v>114</v>
      </c>
      <c r="E62" s="5" t="n"/>
      <c r="G62" t="n">
        <v>174</v>
      </c>
      <c r="H62" s="5" t="n"/>
    </row>
    <row r="63">
      <c r="A63" t="n">
        <v>55</v>
      </c>
      <c r="B63" s="5" t="n"/>
      <c r="D63" t="n">
        <v>115</v>
      </c>
      <c r="E63" s="5" t="n"/>
      <c r="G63" t="n">
        <v>175</v>
      </c>
      <c r="H63" s="5" t="n"/>
    </row>
    <row r="64">
      <c r="A64" t="n">
        <v>56</v>
      </c>
      <c r="B64" s="5" t="n"/>
      <c r="D64" t="n">
        <v>116</v>
      </c>
      <c r="E64" s="5" t="n"/>
    </row>
    <row r="65">
      <c r="A65" t="n">
        <v>57</v>
      </c>
      <c r="B65" s="5" t="n"/>
      <c r="D65" t="n">
        <v>117</v>
      </c>
      <c r="E65" s="5" t="n"/>
    </row>
    <row r="66">
      <c r="A66" t="n">
        <v>58</v>
      </c>
      <c r="B66" s="5" t="n"/>
      <c r="D66" t="n">
        <v>118</v>
      </c>
      <c r="E66" s="5" t="n"/>
    </row>
    <row r="67">
      <c r="A67" t="n">
        <v>59</v>
      </c>
      <c r="B67" s="5" t="n"/>
      <c r="D67" t="n">
        <v>119</v>
      </c>
      <c r="E67" s="5" t="n"/>
    </row>
    <row r="68">
      <c r="A68" t="n">
        <v>60</v>
      </c>
      <c r="B68" s="5" t="n"/>
      <c r="D68" t="n">
        <v>120</v>
      </c>
      <c r="E68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8" customWidth="1" min="3" max="3"/>
    <col width="50" customWidth="1" min="4" max="4"/>
    <col width="30" customWidth="1" min="5" max="5"/>
    <col width="14" customWidth="1" min="6" max="6"/>
  </cols>
  <sheetData>
    <row r="1">
      <c r="A1" s="1" t="inlineStr">
        <is>
          <t>MCMI-III - AUTOMATIC RAW SCORE CALCULATION</t>
        </is>
      </c>
    </row>
    <row r="2">
      <c r="A2" s="2" t="inlineStr">
        <is>
          <t>Raw scores are calculated automatically from item responses</t>
        </is>
      </c>
    </row>
    <row r="4">
      <c r="A4" s="6" t="inlineStr">
        <is>
          <t>Scale Code</t>
        </is>
      </c>
      <c r="B4" s="6" t="inlineStr">
        <is>
          <t>Scale Name</t>
        </is>
      </c>
      <c r="C4" s="6" t="inlineStr">
        <is>
          <t>Category</t>
        </is>
      </c>
      <c r="D4" s="6" t="inlineStr">
        <is>
          <t>Items Scored TRUE</t>
        </is>
      </c>
      <c r="E4" s="6" t="inlineStr">
        <is>
          <t>Items Scored FALSE</t>
        </is>
      </c>
      <c r="F4" s="6" t="inlineStr">
        <is>
          <t>RAW SCORE</t>
        </is>
      </c>
    </row>
    <row r="5">
      <c r="A5" t="inlineStr">
        <is>
          <t>X</t>
        </is>
      </c>
      <c r="B5" t="inlineStr">
        <is>
          <t>Disclosure</t>
        </is>
      </c>
      <c r="C5" t="inlineStr">
        <is>
          <t>Modifying Indices</t>
        </is>
      </c>
      <c r="D5" t="inlineStr">
        <is>
          <t xml:space="preserve">[1, 4, 5, 6, 7, 10, 14, 15, 17, 21, 23, 24, 25, 27, 29, 30, 31, 32, 34, 35, 37, 39, 40, 42, 43, 44, 46, 48, 50, 51, 52, 53, 54, 55, 56, 58, 60, 61, 62, 63, 64, 66, 67, 69, 70, 71, 73, 74, 75, 76, 77, </t>
        </is>
      </c>
      <c r="E5" t="inlineStr">
        <is>
          <t>None</t>
        </is>
      </c>
      <c r="F5" s="7">
        <f>Item_Responses!B9+Item_Responses!B12+Item_Responses!B13+Item_Responses!B14+Item_Responses!B15+Item_Responses!B18+Item_Responses!B22+Item_Responses!B23+Item_Responses!B25+Item_Responses!B29+Item_Responses!B31+Item_Responses!B32+Item_Responses!B33+Item_Responses!B35+Item_Responses!B37+Item_Responses!B38+Item_Responses!B39+Item_Responses!B40+Item_Responses!B42+Item_Responses!B43+Item_Responses!B45+Item_Responses!B47+Item_Responses!B48+Item_Responses!B50+Item_Responses!B51+Item_Responses!B52+Item_Responses!B54+Item_Responses!B56+Item_Responses!B58+Item_Responses!B59+Item_Responses!B60+Item_Responses!B61+Item_Responses!B62+Item_Responses!B63+Item_Responses!B64+Item_Responses!B66+Item_Responses!B68+Item_Responses!E9+Item_Responses!E10+Item_Responses!E11+Item_Responses!E12+Item_Responses!E14+Item_Responses!E15+Item_Responses!E17+Item_Responses!E18+Item_Responses!E19+Item_Responses!E21+Item_Responses!E22+Item_Responses!E23+Item_Responses!E24+Item_Responses!E25+Item_Responses!E27+Item_Responses!E28+Item_Responses!E29+Item_Responses!E30+Item_Responses!E31+Item_Responses!E32+Item_Responses!E33+Item_Responses!E34+Item_Responses!E35+Item_Responses!E36+Item_Responses!E37+Item_Responses!E38+Item_Responses!E39+Item_Responses!E40+Item_Responses!E41+Item_Responses!E42+Item_Responses!E43+Item_Responses!E44+Item_Responses!E45+Item_Responses!E46+Item_Responses!E47+Item_Responses!E48+Item_Responses!E49+Item_Responses!E50+Item_Responses!E51+Item_Responses!E52+Item_Responses!E54+Item_Responses!E55+Item_Responses!E56+Item_Responses!E57+Item_Responses!E59+Item_Responses!E60+Item_Responses!E61+Item_Responses!E62+Item_Responses!E63+Item_Responses!E64+Item_Responses!E65+Item_Responses!E66+Item_Responses!E67+Item_Responses!E68+Item_Responses!H9+Item_Responses!H10+Item_Responses!H11+Item_Responses!H12+Item_Responses!H13+Item_Responses!H14+Item_Responses!H15+Item_Responses!H16+Item_Responses!H17+Item_Responses!H18+Item_Responses!H19+Item_Responses!H20+Item_Responses!H21+Item_Responses!H22+Item_Responses!H23+Item_Responses!H24+Item_Responses!H25+Item_Responses!H26+Item_Responses!H27+Item_Responses!H28+Item_Responses!H29+Item_Responses!H30+Item_Responses!H31+Item_Responses!H32+Item_Responses!H33+Item_Responses!H34+Item_Responses!H35+Item_Responses!H36+Item_Responses!H37+Item_Responses!H38+Item_Responses!H39+Item_Responses!H40+Item_Responses!H41+Item_Responses!H42+Item_Responses!H43+Item_Responses!H44+Item_Responses!H46+Item_Responses!H47+Item_Responses!H48+Item_Responses!H49+Item_Responses!H50+Item_Responses!H51+Item_Responses!H52+Item_Responses!H53+Item_Responses!H54+Item_Responses!H55+Item_Responses!H56+Item_Responses!H57+Item_Responses!H58+Item_Responses!H59+Item_Responses!H60+Item_Responses!H61+Item_Responses!H62+Item_Responses!H63</f>
        <v/>
      </c>
    </row>
    <row r="6">
      <c r="A6" t="inlineStr">
        <is>
          <t>Y</t>
        </is>
      </c>
      <c r="B6" t="inlineStr">
        <is>
          <t>Desirability</t>
        </is>
      </c>
      <c r="C6" t="inlineStr">
        <is>
          <t>Modifying Indices</t>
        </is>
      </c>
      <c r="D6" t="inlineStr">
        <is>
          <t>[2, 8, 16, 36, 41, 57, 68, 78, 105]</t>
        </is>
      </c>
      <c r="E6" t="inlineStr">
        <is>
          <t>[12, 33, 45, 47, 59, 72, 110, 157]</t>
        </is>
      </c>
      <c r="F6" s="7">
        <f>Item_Responses!B10+Item_Responses!B16+Item_Responses!B24+Item_Responses!B44+Item_Responses!B49+Item_Responses!B65+Item_Responses!E16+Item_Responses!E26+Item_Responses!E53+(1-Item_Responses!B20)+(1-Item_Responses!B41)+(1-Item_Responses!B53)+(1-Item_Responses!B55)+(1-Item_Responses!B67)+(1-Item_Responses!E20)+(1-Item_Responses!E58)+(1-Item_Responses!H45)</f>
        <v/>
      </c>
    </row>
    <row r="7">
      <c r="A7" t="inlineStr">
        <is>
          <t>Z</t>
        </is>
      </c>
      <c r="B7" t="inlineStr">
        <is>
          <t>Debasement</t>
        </is>
      </c>
      <c r="C7" t="inlineStr">
        <is>
          <t>Modifying Indices</t>
        </is>
      </c>
      <c r="D7" t="inlineStr">
        <is>
          <t>[25, 31, 39, 50, 51, 53, 54, 56, 71, 82, 84, 86, 87, 89, 90, 94, 100, 104, 107, 113, 118, 121, 126, 131, 139, 145, 151, 158, 164, 172, 175]</t>
        </is>
      </c>
      <c r="E7" t="inlineStr">
        <is>
          <t>None</t>
        </is>
      </c>
      <c r="F7" s="7">
        <f>Item_Responses!B33+Item_Responses!B39+Item_Responses!B47+Item_Responses!B58+Item_Responses!B59+Item_Responses!B61+Item_Responses!B62+Item_Responses!B64+Item_Responses!E19+Item_Responses!E30+Item_Responses!E32+Item_Responses!E34+Item_Responses!E35+Item_Responses!E37+Item_Responses!E38+Item_Responses!E42+Item_Responses!E48+Item_Responses!E52+Item_Responses!E55+Item_Responses!E61+Item_Responses!E66+Item_Responses!H9+Item_Responses!H14+Item_Responses!H19+Item_Responses!H27+Item_Responses!H33+Item_Responses!H39+Item_Responses!H46+Item_Responses!H52+Item_Responses!H60+Item_Responses!H63</f>
        <v/>
      </c>
    </row>
    <row r="8">
      <c r="A8" t="inlineStr">
        <is>
          <t>1</t>
        </is>
      </c>
      <c r="B8" t="inlineStr">
        <is>
          <t>Schizoid</t>
        </is>
      </c>
      <c r="C8" t="inlineStr">
        <is>
          <t>Clinical Personality Patterns</t>
        </is>
      </c>
      <c r="D8" t="inlineStr">
        <is>
          <t>[1, 14, 25, 40, 46, 55, 70, 81, 86, 92, 112, 118, 124, 130, 136]</t>
        </is>
      </c>
      <c r="E8" t="inlineStr">
        <is>
          <t>[57, 78, 105]</t>
        </is>
      </c>
      <c r="F8" s="7">
        <f>Item_Responses!B9+Item_Responses!B22+Item_Responses!B33+Item_Responses!B48+Item_Responses!B54+Item_Responses!B63+Item_Responses!E18+Item_Responses!E29+Item_Responses!E34+Item_Responses!E40+Item_Responses!E60+Item_Responses!E66+Item_Responses!H12+Item_Responses!H18+Item_Responses!H24+(1-Item_Responses!B65)+(1-Item_Responses!E26)+(1-Item_Responses!E53)</f>
        <v/>
      </c>
    </row>
    <row r="9">
      <c r="A9" t="inlineStr">
        <is>
          <t>2A</t>
        </is>
      </c>
      <c r="B9" t="inlineStr">
        <is>
          <t>Avoidant</t>
        </is>
      </c>
      <c r="C9" t="inlineStr">
        <is>
          <t>Clinical Personality Patterns</t>
        </is>
      </c>
      <c r="D9" t="inlineStr">
        <is>
          <t>[1, 14, 25, 40, 46, 55, 62, 70, 81, 86, 92, 99, 107, 112, 118, 124, 130, 135, 141, 148, 154, 160, 166]</t>
        </is>
      </c>
      <c r="E9" t="inlineStr">
        <is>
          <t>None</t>
        </is>
      </c>
      <c r="F9" s="7">
        <f>Item_Responses!B9+Item_Responses!B22+Item_Responses!B33+Item_Responses!B48+Item_Responses!B54+Item_Responses!B63+Item_Responses!E10+Item_Responses!E18+Item_Responses!E29+Item_Responses!E34+Item_Responses!E40+Item_Responses!E47+Item_Responses!E55+Item_Responses!E60+Item_Responses!E66+Item_Responses!H12+Item_Responses!H18+Item_Responses!H23+Item_Responses!H29+Item_Responses!H36+Item_Responses!H42+Item_Responses!H48+Item_Responses!H54</f>
        <v/>
      </c>
    </row>
    <row r="10">
      <c r="A10" t="inlineStr">
        <is>
          <t>2B</t>
        </is>
      </c>
      <c r="B10" t="inlineStr">
        <is>
          <t>Depressive</t>
        </is>
      </c>
      <c r="C10" t="inlineStr">
        <is>
          <t>Clinical Personality Patterns</t>
        </is>
      </c>
      <c r="D10" t="inlineStr">
        <is>
          <t>[1, 10, 14, 24, 25, 31, 40, 46, 50, 55, 62, 70, 75, 81, 86, 92, 99, 107, 112, 118, 121, 124, 127, 130, 135, 139, 148, 154, 160, 166, 172]</t>
        </is>
      </c>
      <c r="E10" t="inlineStr">
        <is>
          <t>None</t>
        </is>
      </c>
      <c r="F10" s="7">
        <f>Item_Responses!B9+Item_Responses!B18+Item_Responses!B22+Item_Responses!B32+Item_Responses!B33+Item_Responses!B39+Item_Responses!B48+Item_Responses!B54+Item_Responses!B58+Item_Responses!B63+Item_Responses!E10+Item_Responses!E18+Item_Responses!E23+Item_Responses!E29+Item_Responses!E34+Item_Responses!E40+Item_Responses!E47+Item_Responses!E55+Item_Responses!E60+Item_Responses!E66+Item_Responses!H9+Item_Responses!H12+Item_Responses!H15+Item_Responses!H18+Item_Responses!H23+Item_Responses!H27+Item_Responses!H36+Item_Responses!H42+Item_Responses!H48+Item_Responses!H54+Item_Responses!H60</f>
        <v/>
      </c>
    </row>
    <row r="11">
      <c r="A11" t="inlineStr">
        <is>
          <t>3</t>
        </is>
      </c>
      <c r="B11" t="inlineStr">
        <is>
          <t>Dependent</t>
        </is>
      </c>
      <c r="C11" t="inlineStr">
        <is>
          <t>Clinical Personality Patterns</t>
        </is>
      </c>
      <c r="D11" t="inlineStr">
        <is>
          <t>[4, 10, 17, 24, 29, 34, 40, 46, 52, 58, 62, 66, 74, 79, 84, 91, 97, 103, 109, 115, 121, 127, 133, 139, 145, 151, 158, 164, 170]</t>
        </is>
      </c>
      <c r="E11" t="inlineStr">
        <is>
          <t>None</t>
        </is>
      </c>
      <c r="F11" s="7">
        <f>Item_Responses!B12+Item_Responses!B18+Item_Responses!B25+Item_Responses!B32+Item_Responses!B37+Item_Responses!B42+Item_Responses!B48+Item_Responses!B54+Item_Responses!B60+Item_Responses!B66+Item_Responses!E10+Item_Responses!E14+Item_Responses!E22+Item_Responses!E27+Item_Responses!E32+Item_Responses!E39+Item_Responses!E45+Item_Responses!E51+Item_Responses!E57+Item_Responses!E63+Item_Responses!H9+Item_Responses!H15+Item_Responses!H21+Item_Responses!H27+Item_Responses!H33+Item_Responses!H39+Item_Responses!H46+Item_Responses!H52+Item_Responses!H58</f>
        <v/>
      </c>
    </row>
    <row r="12">
      <c r="A12" t="inlineStr">
        <is>
          <t>4</t>
        </is>
      </c>
      <c r="B12" t="inlineStr">
        <is>
          <t>Histrionic</t>
        </is>
      </c>
      <c r="C12" t="inlineStr">
        <is>
          <t>Clinical Personality Patterns</t>
        </is>
      </c>
      <c r="D12" t="inlineStr">
        <is>
          <t>[2, 8, 16, 23, 36, 41, 48, 57, 63, 68, 76, 78, 83, 88, 95, 101, 105, 108, 114, 120, 126, 132, 138, 144, 150, 156, 162, 168, 174]</t>
        </is>
      </c>
      <c r="E12" t="inlineStr">
        <is>
          <t>None</t>
        </is>
      </c>
      <c r="F12" s="7">
        <f>Item_Responses!B10+Item_Responses!B16+Item_Responses!B24+Item_Responses!B31+Item_Responses!B44+Item_Responses!B49+Item_Responses!B56+Item_Responses!B65+Item_Responses!E11+Item_Responses!E16+Item_Responses!E24+Item_Responses!E26+Item_Responses!E31+Item_Responses!E36+Item_Responses!E43+Item_Responses!E49+Item_Responses!E53+Item_Responses!E56+Item_Responses!E62+Item_Responses!E68+Item_Responses!H14+Item_Responses!H20+Item_Responses!H26+Item_Responses!H32+Item_Responses!H38+Item_Responses!H44+Item_Responses!H50+Item_Responses!H56+Item_Responses!H62</f>
        <v/>
      </c>
    </row>
    <row r="13">
      <c r="A13" t="inlineStr">
        <is>
          <t>5</t>
        </is>
      </c>
      <c r="B13" t="inlineStr">
        <is>
          <t>Narcissistic</t>
        </is>
      </c>
      <c r="C13" t="inlineStr">
        <is>
          <t>Clinical Personality Patterns</t>
        </is>
      </c>
      <c r="D13" t="inlineStr">
        <is>
          <t>[2, 8, 16, 23, 30, 36, 41, 48, 57, 63, 68, 76, 78, 83, 88, 95, 101, 105, 108, 114, 120, 126, 132, 138, 144, 150, 156, 162, 168, 174]</t>
        </is>
      </c>
      <c r="E13" t="inlineStr">
        <is>
          <t>[50, 86, 145, 175]</t>
        </is>
      </c>
      <c r="F13" s="7">
        <f>ROUND((Item_Responses!B10+Item_Responses!B16+Item_Responses!B24+Item_Responses!B31+Item_Responses!B38+Item_Responses!B44+Item_Responses!B49+Item_Responses!B56+Item_Responses!B65+Item_Responses!E11+Item_Responses!E16+Item_Responses!E24+Item_Responses!E26+Item_Responses!E31+Item_Responses!E36+Item_Responses!E43+Item_Responses!E49+Item_Responses!E53+Item_Responses!E56+Item_Responses!E62+Item_Responses!E68+Item_Responses!H14+Item_Responses!H20+Item_Responses!H26+Item_Responses!H32+Item_Responses!H38+Item_Responses!H44+Item_Responses!H50+Item_Responses!H56+Item_Responses!H62+(1-Item_Responses!B58)+(1-Item_Responses!E34)+(1-Item_Responses!H33)+(1-Item_Responses!H63))*2/3, 0)</f>
        <v/>
      </c>
    </row>
    <row r="14">
      <c r="A14" t="inlineStr">
        <is>
          <t>6A</t>
        </is>
      </c>
      <c r="B14" t="inlineStr">
        <is>
          <t>Antisocial</t>
        </is>
      </c>
      <c r="C14" t="inlineStr">
        <is>
          <t>Clinical Personality Patterns</t>
        </is>
      </c>
      <c r="D14" t="inlineStr">
        <is>
          <t>[5, 15, 21, 27, 35, 42, 44, 53, 60, 64, 69, 73, 77, 82, 87, 93, 98, 102, 106, 111, 117, 123, 129, 134, 140, 146, 152, 159, 165, 171]</t>
        </is>
      </c>
      <c r="E14" t="inlineStr">
        <is>
          <t>None</t>
        </is>
      </c>
      <c r="F14" s="7">
        <f>Item_Responses!B13+Item_Responses!B23+Item_Responses!B29+Item_Responses!B35+Item_Responses!B43+Item_Responses!B50+Item_Responses!B52+Item_Responses!B61+Item_Responses!B68+Item_Responses!E12+Item_Responses!E17+Item_Responses!E21+Item_Responses!E25+Item_Responses!E30+Item_Responses!E35+Item_Responses!E41+Item_Responses!E46+Item_Responses!E50+Item_Responses!E54+Item_Responses!E59+Item_Responses!E65+Item_Responses!H11+Item_Responses!H17+Item_Responses!H22+Item_Responses!H28+Item_Responses!H34+Item_Responses!H40+Item_Responses!H47+Item_Responses!H53+Item_Responses!H59</f>
        <v/>
      </c>
    </row>
    <row r="15">
      <c r="A15" t="inlineStr">
        <is>
          <t>6B</t>
        </is>
      </c>
      <c r="B15" t="inlineStr">
        <is>
          <t>Sadistic (Aggressive)</t>
        </is>
      </c>
      <c r="C15" t="inlineStr">
        <is>
          <t>Clinical Personality Patterns</t>
        </is>
      </c>
      <c r="D15" t="inlineStr">
        <is>
          <t>[5, 15, 21, 27, 35, 42, 44, 53, 60, 64, 69, 73, 77, 82, 87, 93, 98, 102, 106, 111, 117, 123, 129, 140, 146, 152]</t>
        </is>
      </c>
      <c r="E15" t="inlineStr">
        <is>
          <t>None</t>
        </is>
      </c>
      <c r="F15" s="7">
        <f>Item_Responses!B13+Item_Responses!B23+Item_Responses!B29+Item_Responses!B35+Item_Responses!B43+Item_Responses!B50+Item_Responses!B52+Item_Responses!B61+Item_Responses!B68+Item_Responses!E12+Item_Responses!E17+Item_Responses!E21+Item_Responses!E25+Item_Responses!E30+Item_Responses!E35+Item_Responses!E41+Item_Responses!E46+Item_Responses!E50+Item_Responses!E54+Item_Responses!E59+Item_Responses!E65+Item_Responses!H11+Item_Responses!H17+Item_Responses!H28+Item_Responses!H34+Item_Responses!H40</f>
        <v/>
      </c>
    </row>
    <row r="16">
      <c r="A16" t="inlineStr">
        <is>
          <t>7</t>
        </is>
      </c>
      <c r="B16" t="inlineStr">
        <is>
          <t>Compulsive</t>
        </is>
      </c>
      <c r="C16" t="inlineStr">
        <is>
          <t>Clinical Personality Patterns</t>
        </is>
      </c>
      <c r="D16" t="inlineStr">
        <is>
          <t>[2, 8, 16, 36, 41, 57, 68, 78, 105]</t>
        </is>
      </c>
      <c r="E16" t="inlineStr">
        <is>
          <t>[5, 15, 21, 27, 35, 42, 44, 53, 60, 64, 69, 73, 77, 82, 87, 93]</t>
        </is>
      </c>
      <c r="F16" s="7">
        <f>Item_Responses!B10+Item_Responses!B16+Item_Responses!B24+Item_Responses!B44+Item_Responses!B49+Item_Responses!B65+Item_Responses!E16+Item_Responses!E26+Item_Responses!E53+(1-Item_Responses!B13)+(1-Item_Responses!B23)+(1-Item_Responses!B29)+(1-Item_Responses!B35)+(1-Item_Responses!B43)+(1-Item_Responses!B50)+(1-Item_Responses!B52)+(1-Item_Responses!B61)+(1-Item_Responses!B68)+(1-Item_Responses!E12)+(1-Item_Responses!E17)+(1-Item_Responses!E21)+(1-Item_Responses!E25)+(1-Item_Responses!E30)+(1-Item_Responses!E35)+(1-Item_Responses!E41)</f>
        <v/>
      </c>
    </row>
    <row r="17">
      <c r="A17" t="inlineStr">
        <is>
          <t>8A</t>
        </is>
      </c>
      <c r="B17" t="inlineStr">
        <is>
          <t>Negativistic (Passive-Aggressive)</t>
        </is>
      </c>
      <c r="C17" t="inlineStr">
        <is>
          <t>Clinical Personality Patterns</t>
        </is>
      </c>
      <c r="D17" t="inlineStr">
        <is>
          <t>[5, 7, 15, 21, 27, 30, 35, 37, 42, 44, 51, 53, 56, 60, 64, 66, 69, 73, 75, 77, 80, 82, 85, 87, 89, 93, 96, 98, 100, 102, 104, 106, 111, 113, 116, 117, 119, 123, 125, 129, 131, 134, 137, 140, 143, 146,</t>
        </is>
      </c>
      <c r="E17" t="inlineStr">
        <is>
          <t>None</t>
        </is>
      </c>
      <c r="F17" s="7">
        <f>Item_Responses!B13+Item_Responses!B15+Item_Responses!B23+Item_Responses!B29+Item_Responses!B35+Item_Responses!B38+Item_Responses!B43+Item_Responses!B45+Item_Responses!B50+Item_Responses!B52+Item_Responses!B59+Item_Responses!B61+Item_Responses!B64+Item_Responses!B68+Item_Responses!E12+Item_Responses!E14+Item_Responses!E17+Item_Responses!E21+Item_Responses!E23+Item_Responses!E25+Item_Responses!E28+Item_Responses!E30+Item_Responses!E33+Item_Responses!E35+Item_Responses!E37+Item_Responses!E41+Item_Responses!E44+Item_Responses!E46+Item_Responses!E48+Item_Responses!E50+Item_Responses!E52+Item_Responses!E54+Item_Responses!E59+Item_Responses!E61+Item_Responses!E64+Item_Responses!E65+Item_Responses!E67+Item_Responses!H11+Item_Responses!H13+Item_Responses!H17+Item_Responses!H19+Item_Responses!H22+Item_Responses!H25+Item_Responses!H28+Item_Responses!H31+Item_Responses!H34+Item_Responses!H37+Item_Responses!H40+Item_Responses!H43+Item_Responses!H47+Item_Responses!H49+Item_Responses!H53+Item_Responses!H55+Item_Responses!H59+Item_Responses!H61</f>
        <v/>
      </c>
    </row>
    <row r="18">
      <c r="A18" t="inlineStr">
        <is>
          <t>8B</t>
        </is>
      </c>
      <c r="B18" t="inlineStr">
        <is>
          <t>Masochistic (Self-Defeating)</t>
        </is>
      </c>
      <c r="C18" t="inlineStr">
        <is>
          <t>Clinical Personality Patterns</t>
        </is>
      </c>
      <c r="D18" t="inlineStr">
        <is>
          <t xml:space="preserve">[1, 10, 14, 24, 25, 31, 40, 46, 50, 55, 62, 70, 75, 81, 84, 86, 89, 92, 97, 99, 103, 107, 109, 112, 115, 118, 121, 124, 127, 130, 133, 135, 139, 141, 145, 148, 151, 154, 158, 160, 164, 166, 170, 172, </t>
        </is>
      </c>
      <c r="E18" t="inlineStr">
        <is>
          <t>None</t>
        </is>
      </c>
      <c r="F18" s="7">
        <f>Item_Responses!B9+Item_Responses!B18+Item_Responses!B22+Item_Responses!B32+Item_Responses!B33+Item_Responses!B39+Item_Responses!B48+Item_Responses!B54+Item_Responses!B58+Item_Responses!B63+Item_Responses!E10+Item_Responses!E18+Item_Responses!E23+Item_Responses!E29+Item_Responses!E32+Item_Responses!E34+Item_Responses!E37+Item_Responses!E40+Item_Responses!E45+Item_Responses!E47+Item_Responses!E51+Item_Responses!E55+Item_Responses!E57+Item_Responses!E60+Item_Responses!E63+Item_Responses!E66+Item_Responses!H9+Item_Responses!H12+Item_Responses!H15+Item_Responses!H18+Item_Responses!H21+Item_Responses!H23+Item_Responses!H27+Item_Responses!H29+Item_Responses!H33+Item_Responses!H36+Item_Responses!H39+Item_Responses!H42+Item_Responses!H46+Item_Responses!H48+Item_Responses!H52+Item_Responses!H54+Item_Responses!H58+Item_Responses!H60+Item_Responses!H63</f>
        <v/>
      </c>
    </row>
    <row r="19">
      <c r="A19" t="inlineStr">
        <is>
          <t>S</t>
        </is>
      </c>
      <c r="B19" t="inlineStr">
        <is>
          <t>Schizotypal</t>
        </is>
      </c>
      <c r="C19" t="inlineStr">
        <is>
          <t>Severe Personality Pathology</t>
        </is>
      </c>
      <c r="D19" t="inlineStr">
        <is>
          <t>[1, 14, 25, 40, 46, 55, 62, 70, 81, 86, 90, 92, 94, 99, 107, 112, 118, 124, 130, 135, 136, 141, 148, 154, 160, 166]</t>
        </is>
      </c>
      <c r="E19" t="inlineStr">
        <is>
          <t>[57, 78, 105]</t>
        </is>
      </c>
      <c r="F19" s="7">
        <f>Item_Responses!B9+Item_Responses!B22+Item_Responses!B33+Item_Responses!B48+Item_Responses!B54+Item_Responses!B63+Item_Responses!E10+Item_Responses!E18+Item_Responses!E29+Item_Responses!E34+Item_Responses!E38+Item_Responses!E40+Item_Responses!E42+Item_Responses!E47+Item_Responses!E55+Item_Responses!E60+Item_Responses!E66+Item_Responses!H12+Item_Responses!H18+Item_Responses!H23+Item_Responses!H24+Item_Responses!H29+Item_Responses!H36+Item_Responses!H42+Item_Responses!H48+Item_Responses!H54+(1-Item_Responses!B65)+(1-Item_Responses!E26)+(1-Item_Responses!E53)</f>
        <v/>
      </c>
    </row>
    <row r="20">
      <c r="A20" t="inlineStr">
        <is>
          <t>C</t>
        </is>
      </c>
      <c r="B20" t="inlineStr">
        <is>
          <t>Borderline</t>
        </is>
      </c>
      <c r="C20" t="inlineStr">
        <is>
          <t>Severe Personality Pathology</t>
        </is>
      </c>
      <c r="D20" t="inlineStr">
        <is>
          <t xml:space="preserve">[5, 7, 15, 21, 27, 30, 35, 37, 42, 44, 51, 53, 56, 60, 62, 64, 66, 69, 73, 75, 77, 80, 82, 85, 87, 89, 93, 96, 98, 100, 102, 104, 106, 111, 113, 116, 117, 119, 123, 125, 129, 131, 134, 137, 140, 143, </t>
        </is>
      </c>
      <c r="E20" t="inlineStr">
        <is>
          <t>None</t>
        </is>
      </c>
      <c r="F20" s="7">
        <f>Item_Responses!B13+Item_Responses!B15+Item_Responses!B23+Item_Responses!B29+Item_Responses!B35+Item_Responses!B38+Item_Responses!B43+Item_Responses!B45+Item_Responses!B50+Item_Responses!B52+Item_Responses!B59+Item_Responses!B61+Item_Responses!B64+Item_Responses!B68+Item_Responses!E10+Item_Responses!E12+Item_Responses!E14+Item_Responses!E17+Item_Responses!E21+Item_Responses!E23+Item_Responses!E25+Item_Responses!E28+Item_Responses!E30+Item_Responses!E33+Item_Responses!E35+Item_Responses!E37+Item_Responses!E41+Item_Responses!E44+Item_Responses!E46+Item_Responses!E48+Item_Responses!E50+Item_Responses!E52+Item_Responses!E54+Item_Responses!E59+Item_Responses!E61+Item_Responses!E64+Item_Responses!E65+Item_Responses!E67+Item_Responses!H11+Item_Responses!H13+Item_Responses!H17+Item_Responses!H19+Item_Responses!H22+Item_Responses!H25+Item_Responses!H28+Item_Responses!H31+Item_Responses!H34+Item_Responses!H37+Item_Responses!H40+Item_Responses!H43+Item_Responses!H47+Item_Responses!H49+Item_Responses!H53+Item_Responses!H55+Item_Responses!H59+Item_Responses!H61</f>
        <v/>
      </c>
    </row>
    <row r="21">
      <c r="A21" t="inlineStr">
        <is>
          <t>P</t>
        </is>
      </c>
      <c r="B21" t="inlineStr">
        <is>
          <t>Paranoid</t>
        </is>
      </c>
      <c r="C21" t="inlineStr">
        <is>
          <t>Severe Personality Pathology</t>
        </is>
      </c>
      <c r="D21" t="inlineStr">
        <is>
          <t>[5, 15, 21, 27, 30, 35, 42, 44, 48, 53, 60, 63, 64, 69, 73, 76, 77, 82, 83, 87, 88, 93, 95, 98, 101, 102, 106, 108, 111, 114, 117, 120, 123, 126, 129, 132, 138, 140, 144, 146, 150, 152, 156, 159, 162,</t>
        </is>
      </c>
      <c r="E21" t="inlineStr">
        <is>
          <t>None</t>
        </is>
      </c>
      <c r="F21" s="7">
        <f>Item_Responses!B13+Item_Responses!B23+Item_Responses!B29+Item_Responses!B35+Item_Responses!B38+Item_Responses!B43+Item_Responses!B50+Item_Responses!B52+Item_Responses!B56+Item_Responses!B61+Item_Responses!B68+Item_Responses!E11+Item_Responses!E12+Item_Responses!E17+Item_Responses!E21+Item_Responses!E24+Item_Responses!E25+Item_Responses!E30+Item_Responses!E31+Item_Responses!E35+Item_Responses!E36+Item_Responses!E41+Item_Responses!E43+Item_Responses!E46+Item_Responses!E49+Item_Responses!E50+Item_Responses!E54+Item_Responses!E56+Item_Responses!E59+Item_Responses!E62+Item_Responses!E65+Item_Responses!E68+Item_Responses!H11+Item_Responses!H14+Item_Responses!H17+Item_Responses!H20+Item_Responses!H26+Item_Responses!H28+Item_Responses!H32+Item_Responses!H34+Item_Responses!H38+Item_Responses!H40+Item_Responses!H44+Item_Responses!H47+Item_Responses!H50+Item_Responses!H53+Item_Responses!H56+Item_Responses!H59+Item_Responses!H62</f>
        <v/>
      </c>
    </row>
    <row r="22">
      <c r="A22" t="inlineStr">
        <is>
          <t>A</t>
        </is>
      </c>
      <c r="B22" t="inlineStr">
        <is>
          <t>Anxiety</t>
        </is>
      </c>
      <c r="C22" t="inlineStr">
        <is>
          <t>Clinical Syndromes</t>
        </is>
      </c>
      <c r="D22" t="inlineStr">
        <is>
          <t>[6, 10, 17, 24, 29, 34, 43, 50, 51, 54, 56, 62, 66, 71, 74, 79, 82, 84, 89, 91, 97, 100, 103, 107, 109, 113, 115, 118, 121, 127, 131, 133, 139, 145, 151, 158, 164, 170, 172, 175]</t>
        </is>
      </c>
      <c r="E22" t="inlineStr">
        <is>
          <t>None</t>
        </is>
      </c>
      <c r="F22" s="7">
        <f>Item_Responses!B14+Item_Responses!B18+Item_Responses!B25+Item_Responses!B32+Item_Responses!B37+Item_Responses!B42+Item_Responses!B51+Item_Responses!B58+Item_Responses!B59+Item_Responses!B62+Item_Responses!B64+Item_Responses!E10+Item_Responses!E14+Item_Responses!E19+Item_Responses!E22+Item_Responses!E27+Item_Responses!E30+Item_Responses!E32+Item_Responses!E37+Item_Responses!E39+Item_Responses!E45+Item_Responses!E48+Item_Responses!E51+Item_Responses!E55+Item_Responses!E57+Item_Responses!E61+Item_Responses!E63+Item_Responses!E66+Item_Responses!H9+Item_Responses!H15+Item_Responses!H19+Item_Responses!H21+Item_Responses!H27+Item_Responses!H33+Item_Responses!H39+Item_Responses!H46+Item_Responses!H52+Item_Responses!H58+Item_Responses!H60+Item_Responses!H63</f>
        <v/>
      </c>
    </row>
    <row r="23">
      <c r="A23" t="inlineStr">
        <is>
          <t>H</t>
        </is>
      </c>
      <c r="B23" t="inlineStr">
        <is>
          <t>Somatoform</t>
        </is>
      </c>
      <c r="C23" t="inlineStr">
        <is>
          <t>Clinical Syndromes</t>
        </is>
      </c>
      <c r="D23" t="inlineStr">
        <is>
          <t>[6, 17, 24, 29, 34, 43, 46, 52, 54, 58, 62, 66, 74, 79, 84, 86, 91, 92, 97, 103, 109, 112, 115, 118, 121, 124, 127, 130, 133, 139, 145, 151, 158, 164, 170]</t>
        </is>
      </c>
      <c r="E23" t="inlineStr">
        <is>
          <t>None</t>
        </is>
      </c>
      <c r="F23" s="7">
        <f>Item_Responses!B14+Item_Responses!B25+Item_Responses!B32+Item_Responses!B37+Item_Responses!B42+Item_Responses!B51+Item_Responses!B54+Item_Responses!B60+Item_Responses!B62+Item_Responses!B66+Item_Responses!E10+Item_Responses!E14+Item_Responses!E22+Item_Responses!E27+Item_Responses!E32+Item_Responses!E34+Item_Responses!E39+Item_Responses!E40+Item_Responses!E45+Item_Responses!E51+Item_Responses!E57+Item_Responses!E60+Item_Responses!E63+Item_Responses!E66+Item_Responses!H9+Item_Responses!H12+Item_Responses!H15+Item_Responses!H18+Item_Responses!H21+Item_Responses!H27+Item_Responses!H33+Item_Responses!H39+Item_Responses!H46+Item_Responses!H52+Item_Responses!H58</f>
        <v/>
      </c>
    </row>
    <row r="24">
      <c r="A24" t="inlineStr">
        <is>
          <t>N</t>
        </is>
      </c>
      <c r="B24" t="inlineStr">
        <is>
          <t>Bipolar: Manic</t>
        </is>
      </c>
      <c r="C24" t="inlineStr">
        <is>
          <t>Clinical Syndromes</t>
        </is>
      </c>
      <c r="D24" t="inlineStr">
        <is>
          <t>[2, 8, 16, 23, 30, 36, 41, 48, 57, 63, 68, 76, 78, 83, 88, 95, 101, 105, 108, 114, 120, 126, 132, 138, 144, 150, 156, 162, 168, 174]</t>
        </is>
      </c>
      <c r="E24" t="inlineStr">
        <is>
          <t>None</t>
        </is>
      </c>
      <c r="F24" s="7">
        <f>Item_Responses!B10+Item_Responses!B16+Item_Responses!B24+Item_Responses!B31+Item_Responses!B38+Item_Responses!B44+Item_Responses!B49+Item_Responses!B56+Item_Responses!B65+Item_Responses!E11+Item_Responses!E16+Item_Responses!E24+Item_Responses!E26+Item_Responses!E31+Item_Responses!E36+Item_Responses!E43+Item_Responses!E49+Item_Responses!E53+Item_Responses!E56+Item_Responses!E62+Item_Responses!E68+Item_Responses!H14+Item_Responses!H20+Item_Responses!H26+Item_Responses!H32+Item_Responses!H38+Item_Responses!H44+Item_Responses!H50+Item_Responses!H56+Item_Responses!H62</f>
        <v/>
      </c>
    </row>
    <row r="25">
      <c r="A25" t="inlineStr">
        <is>
          <t>D</t>
        </is>
      </c>
      <c r="B25" t="inlineStr">
        <is>
          <t>Dysthymia</t>
        </is>
      </c>
      <c r="C25" t="inlineStr">
        <is>
          <t>Clinical Syndromes</t>
        </is>
      </c>
      <c r="D25" t="inlineStr">
        <is>
          <t>[1, 10, 14, 24, 25, 31, 40, 46, 50, 55, 62, 70, 75, 81, 84, 86, 89, 92, 99, 107, 112, 118, 121, 124, 127, 130, 135, 139, 141, 145, 148, 151, 154, 158, 160, 164, 166, 170, 172, 175]</t>
        </is>
      </c>
      <c r="E25" t="inlineStr">
        <is>
          <t>None</t>
        </is>
      </c>
      <c r="F25" s="7">
        <f>Item_Responses!B9+Item_Responses!B18+Item_Responses!B22+Item_Responses!B32+Item_Responses!B33+Item_Responses!B39+Item_Responses!B48+Item_Responses!B54+Item_Responses!B58+Item_Responses!B63+Item_Responses!E10+Item_Responses!E18+Item_Responses!E23+Item_Responses!E29+Item_Responses!E32+Item_Responses!E34+Item_Responses!E37+Item_Responses!E40+Item_Responses!E47+Item_Responses!E55+Item_Responses!E60+Item_Responses!E66+Item_Responses!H9+Item_Responses!H12+Item_Responses!H15+Item_Responses!H18+Item_Responses!H23+Item_Responses!H27+Item_Responses!H29+Item_Responses!H33+Item_Responses!H36+Item_Responses!H39+Item_Responses!H42+Item_Responses!H46+Item_Responses!H48+Item_Responses!H52+Item_Responses!H54+Item_Responses!H58+Item_Responses!H60+Item_Responses!H63</f>
        <v/>
      </c>
    </row>
    <row r="26">
      <c r="A26" t="inlineStr">
        <is>
          <t>B</t>
        </is>
      </c>
      <c r="B26" t="inlineStr">
        <is>
          <t>Alcohol Dependence</t>
        </is>
      </c>
      <c r="C26" t="inlineStr">
        <is>
          <t>Clinical Syndromes</t>
        </is>
      </c>
      <c r="D26" t="inlineStr">
        <is>
          <t>[5, 15, 21, 27, 35, 42, 44, 53, 60, 64, 69, 73, 77, 82, 87, 93, 98, 106, 117, 123, 129, 134, 140, 146, 152, 159, 165, 171]</t>
        </is>
      </c>
      <c r="E26" t="inlineStr">
        <is>
          <t>None</t>
        </is>
      </c>
      <c r="F26" s="7">
        <f>Item_Responses!B13+Item_Responses!B23+Item_Responses!B29+Item_Responses!B35+Item_Responses!B43+Item_Responses!B50+Item_Responses!B52+Item_Responses!B61+Item_Responses!B68+Item_Responses!E12+Item_Responses!E17+Item_Responses!E21+Item_Responses!E25+Item_Responses!E30+Item_Responses!E35+Item_Responses!E41+Item_Responses!E46+Item_Responses!E54+Item_Responses!E65+Item_Responses!H11+Item_Responses!H17+Item_Responses!H22+Item_Responses!H28+Item_Responses!H34+Item_Responses!H40+Item_Responses!H47+Item_Responses!H53+Item_Responses!H59</f>
        <v/>
      </c>
    </row>
    <row r="27">
      <c r="A27" t="inlineStr">
        <is>
          <t>T</t>
        </is>
      </c>
      <c r="B27" t="inlineStr">
        <is>
          <t>Drug Dependence</t>
        </is>
      </c>
      <c r="C27" t="inlineStr">
        <is>
          <t>Clinical Syndromes</t>
        </is>
      </c>
      <c r="D27" t="inlineStr">
        <is>
          <t>[5, 15, 21, 27, 35, 42, 44, 53, 60, 64, 69, 73, 77, 82, 87, 93, 98, 102, 106, 111, 117, 123, 129, 134, 140, 146, 152, 159, 165, 171]</t>
        </is>
      </c>
      <c r="E27" t="inlineStr">
        <is>
          <t>None</t>
        </is>
      </c>
      <c r="F27" s="7">
        <f>Item_Responses!B13+Item_Responses!B23+Item_Responses!B29+Item_Responses!B35+Item_Responses!B43+Item_Responses!B50+Item_Responses!B52+Item_Responses!B61+Item_Responses!B68+Item_Responses!E12+Item_Responses!E17+Item_Responses!E21+Item_Responses!E25+Item_Responses!E30+Item_Responses!E35+Item_Responses!E41+Item_Responses!E46+Item_Responses!E50+Item_Responses!E54+Item_Responses!E59+Item_Responses!E65+Item_Responses!H11+Item_Responses!H17+Item_Responses!H22+Item_Responses!H28+Item_Responses!H34+Item_Responses!H40+Item_Responses!H47+Item_Responses!H53+Item_Responses!H59</f>
        <v/>
      </c>
    </row>
    <row r="28">
      <c r="A28" t="inlineStr">
        <is>
          <t>R</t>
        </is>
      </c>
      <c r="B28" t="inlineStr">
        <is>
          <t>PTSD</t>
        </is>
      </c>
      <c r="C28" t="inlineStr">
        <is>
          <t>Clinical Syndromes</t>
        </is>
      </c>
      <c r="D28" t="inlineStr">
        <is>
          <t>[6, 10, 17, 24, 29, 34, 43, 50, 51, 54, 56, 62, 66, 71, 74, 79, 82, 84, 89, 91, 97, 100, 103, 107, 109, 113, 115, 118, 121, 127, 131, 133, 139, 145, 151, 158, 164, 170, 172, 175]</t>
        </is>
      </c>
      <c r="E28" t="inlineStr">
        <is>
          <t>None</t>
        </is>
      </c>
      <c r="F28" s="7">
        <f>Item_Responses!B14+Item_Responses!B18+Item_Responses!B25+Item_Responses!B32+Item_Responses!B37+Item_Responses!B42+Item_Responses!B51+Item_Responses!B58+Item_Responses!B59+Item_Responses!B62+Item_Responses!B64+Item_Responses!E10+Item_Responses!E14+Item_Responses!E19+Item_Responses!E22+Item_Responses!E27+Item_Responses!E30+Item_Responses!E32+Item_Responses!E37+Item_Responses!E39+Item_Responses!E45+Item_Responses!E48+Item_Responses!E51+Item_Responses!E55+Item_Responses!E57+Item_Responses!E61+Item_Responses!E63+Item_Responses!E66+Item_Responses!H9+Item_Responses!H15+Item_Responses!H19+Item_Responses!H21+Item_Responses!H27+Item_Responses!H33+Item_Responses!H39+Item_Responses!H46+Item_Responses!H52+Item_Responses!H58+Item_Responses!H60+Item_Responses!H63</f>
        <v/>
      </c>
    </row>
    <row r="29">
      <c r="A29" t="inlineStr">
        <is>
          <t>SS</t>
        </is>
      </c>
      <c r="B29" t="inlineStr">
        <is>
          <t>Thought Disorder</t>
        </is>
      </c>
      <c r="C29" t="inlineStr">
        <is>
          <t>Severe Clinical Syndromes</t>
        </is>
      </c>
      <c r="D29" t="inlineStr">
        <is>
          <t>[1, 14, 25, 40, 46, 55, 62, 70, 81, 86, 90, 92, 94, 99, 107, 112, 118, 124, 130, 135, 136, 141, 148, 154, 160, 166, 172, 175]</t>
        </is>
      </c>
      <c r="E29" t="inlineStr">
        <is>
          <t>None</t>
        </is>
      </c>
      <c r="F29" s="7">
        <f>Item_Responses!B9+Item_Responses!B22+Item_Responses!B33+Item_Responses!B48+Item_Responses!B54+Item_Responses!B63+Item_Responses!E10+Item_Responses!E18+Item_Responses!E29+Item_Responses!E34+Item_Responses!E38+Item_Responses!E40+Item_Responses!E42+Item_Responses!E47+Item_Responses!E55+Item_Responses!E60+Item_Responses!E66+Item_Responses!H12+Item_Responses!H18+Item_Responses!H23+Item_Responses!H24+Item_Responses!H29+Item_Responses!H36+Item_Responses!H42+Item_Responses!H48+Item_Responses!H54+Item_Responses!H60+Item_Responses!H63</f>
        <v/>
      </c>
    </row>
    <row r="30">
      <c r="A30" t="inlineStr">
        <is>
          <t>CC</t>
        </is>
      </c>
      <c r="B30" t="inlineStr">
        <is>
          <t>Major Depression</t>
        </is>
      </c>
      <c r="C30" t="inlineStr">
        <is>
          <t>Severe Clinical Syndromes</t>
        </is>
      </c>
      <c r="D30" t="inlineStr">
        <is>
          <t>[1, 10, 14, 24, 25, 31, 40, 46, 50, 55, 62, 70, 75, 81, 84, 86, 89, 92, 99, 107, 112, 118, 121, 124, 127, 130, 135, 139, 141, 145, 148, 151, 154, 158, 160, 164, 166, 170, 172, 175]</t>
        </is>
      </c>
      <c r="E30" t="inlineStr">
        <is>
          <t>None</t>
        </is>
      </c>
      <c r="F30" s="7">
        <f>Item_Responses!B9+Item_Responses!B18+Item_Responses!B22+Item_Responses!B32+Item_Responses!B33+Item_Responses!B39+Item_Responses!B48+Item_Responses!B54+Item_Responses!B58+Item_Responses!B63+Item_Responses!E10+Item_Responses!E18+Item_Responses!E23+Item_Responses!E29+Item_Responses!E32+Item_Responses!E34+Item_Responses!E37+Item_Responses!E40+Item_Responses!E47+Item_Responses!E55+Item_Responses!E60+Item_Responses!E66+Item_Responses!H9+Item_Responses!H12+Item_Responses!H15+Item_Responses!H18+Item_Responses!H23+Item_Responses!H27+Item_Responses!H29+Item_Responses!H33+Item_Responses!H36+Item_Responses!H39+Item_Responses!H42+Item_Responses!H46+Item_Responses!H48+Item_Responses!H52+Item_Responses!H54+Item_Responses!H58+Item_Responses!H60+Item_Responses!H63</f>
        <v/>
      </c>
    </row>
    <row r="31">
      <c r="A31" t="inlineStr">
        <is>
          <t>PP</t>
        </is>
      </c>
      <c r="B31" t="inlineStr">
        <is>
          <t>Delusional Disorder</t>
        </is>
      </c>
      <c r="C31" t="inlineStr">
        <is>
          <t>Severe Clinical Syndromes</t>
        </is>
      </c>
      <c r="D31" t="inlineStr">
        <is>
          <t>[5, 15, 21, 27, 30, 35, 42, 44, 48, 53, 60, 63, 64, 69, 73, 76, 77, 82, 83, 87, 88, 93, 95, 98, 101, 102, 106, 108, 111, 114, 117, 120, 123, 126, 129, 132, 138, 140, 144, 146, 150, 152, 156, 159, 162,</t>
        </is>
      </c>
      <c r="E31" t="inlineStr">
        <is>
          <t>None</t>
        </is>
      </c>
      <c r="F31" s="7">
        <f>Item_Responses!B13+Item_Responses!B23+Item_Responses!B29+Item_Responses!B35+Item_Responses!B38+Item_Responses!B43+Item_Responses!B50+Item_Responses!B52+Item_Responses!B56+Item_Responses!B61+Item_Responses!B68+Item_Responses!E11+Item_Responses!E12+Item_Responses!E17+Item_Responses!E21+Item_Responses!E24+Item_Responses!E25+Item_Responses!E30+Item_Responses!E31+Item_Responses!E35+Item_Responses!E36+Item_Responses!E41+Item_Responses!E43+Item_Responses!E46+Item_Responses!E49+Item_Responses!E50+Item_Responses!E54+Item_Responses!E56+Item_Responses!E59+Item_Responses!E62+Item_Responses!E65+Item_Responses!E68+Item_Responses!H11+Item_Responses!H14+Item_Responses!H17+Item_Responses!H20+Item_Responses!H26+Item_Responses!H28+Item_Responses!H32+Item_Responses!H34+Item_Responses!H38+Item_Responses!H40+Item_Responses!H44+Item_Responses!H47+Item_Responses!H50+Item_Responses!H53+Item_Responses!H56+Item_Responses!H59+Item_Responses!H62</f>
        <v/>
      </c>
    </row>
    <row r="32">
      <c r="A32" t="inlineStr">
        <is>
          <t>V</t>
        </is>
      </c>
      <c r="B32" t="inlineStr">
        <is>
          <t>Invalidity</t>
        </is>
      </c>
      <c r="C32" t="inlineStr">
        <is>
          <t>Validity</t>
        </is>
      </c>
      <c r="D32" t="inlineStr">
        <is>
          <t>65, 110, 157</t>
        </is>
      </c>
      <c r="F32" s="8">
        <f>Item_Responses!E13+Item_Responses!E58+Item_Responses!H45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Scale X Raw Score</t>
        </is>
      </c>
      <c r="B1" s="4" t="inlineStr">
        <is>
          <t>1-8B Adjustment</t>
        </is>
      </c>
      <c r="C1" s="4" t="inlineStr">
        <is>
          <t>S-PP Adjustment</t>
        </is>
      </c>
    </row>
    <row r="2">
      <c r="A2" t="n">
        <v>0</v>
      </c>
      <c r="B2" t="n">
        <v>20</v>
      </c>
      <c r="C2" t="n">
        <v>10</v>
      </c>
    </row>
    <row r="3">
      <c r="A3" t="n">
        <v>1</v>
      </c>
      <c r="B3" t="n">
        <v>20</v>
      </c>
      <c r="C3" t="n">
        <v>10</v>
      </c>
    </row>
    <row r="4">
      <c r="A4" t="n">
        <v>2</v>
      </c>
      <c r="B4" t="n">
        <v>20</v>
      </c>
      <c r="C4" t="n">
        <v>10</v>
      </c>
    </row>
    <row r="5">
      <c r="A5" t="n">
        <v>3</v>
      </c>
      <c r="B5" t="n">
        <v>20</v>
      </c>
      <c r="C5" t="n">
        <v>10</v>
      </c>
    </row>
    <row r="6">
      <c r="A6" t="n">
        <v>4</v>
      </c>
      <c r="B6" t="n">
        <v>20</v>
      </c>
      <c r="C6" t="n">
        <v>10</v>
      </c>
    </row>
    <row r="7">
      <c r="A7" t="n">
        <v>5</v>
      </c>
      <c r="B7" t="n">
        <v>20</v>
      </c>
      <c r="C7" t="n">
        <v>10</v>
      </c>
    </row>
    <row r="8">
      <c r="A8" t="n">
        <v>6</v>
      </c>
      <c r="B8" t="n">
        <v>20</v>
      </c>
      <c r="C8" t="n">
        <v>10</v>
      </c>
    </row>
    <row r="9">
      <c r="A9" t="n">
        <v>7</v>
      </c>
      <c r="B9" t="n">
        <v>20</v>
      </c>
      <c r="C9" t="n">
        <v>10</v>
      </c>
    </row>
    <row r="10">
      <c r="A10" t="n">
        <v>8</v>
      </c>
      <c r="B10" t="n">
        <v>20</v>
      </c>
      <c r="C10" t="n">
        <v>10</v>
      </c>
    </row>
    <row r="11">
      <c r="A11" t="n">
        <v>9</v>
      </c>
      <c r="B11" t="n">
        <v>20</v>
      </c>
      <c r="C11" t="n">
        <v>10</v>
      </c>
    </row>
    <row r="12">
      <c r="A12" t="n">
        <v>10</v>
      </c>
      <c r="B12" t="n">
        <v>20</v>
      </c>
      <c r="C12" t="n">
        <v>10</v>
      </c>
    </row>
    <row r="13">
      <c r="A13" t="n">
        <v>11</v>
      </c>
      <c r="B13" t="n">
        <v>20</v>
      </c>
      <c r="C13" t="n">
        <v>10</v>
      </c>
    </row>
    <row r="14">
      <c r="A14" t="n">
        <v>12</v>
      </c>
      <c r="B14" t="n">
        <v>20</v>
      </c>
      <c r="C14" t="n">
        <v>10</v>
      </c>
    </row>
    <row r="15">
      <c r="A15" t="n">
        <v>13</v>
      </c>
      <c r="B15" t="n">
        <v>20</v>
      </c>
      <c r="C15" t="n">
        <v>10</v>
      </c>
    </row>
    <row r="16">
      <c r="A16" t="n">
        <v>14</v>
      </c>
      <c r="B16" t="n">
        <v>20</v>
      </c>
      <c r="C16" t="n">
        <v>10</v>
      </c>
    </row>
    <row r="17">
      <c r="A17" t="n">
        <v>15</v>
      </c>
      <c r="B17" t="n">
        <v>20</v>
      </c>
      <c r="C17" t="n">
        <v>10</v>
      </c>
    </row>
    <row r="18">
      <c r="A18" t="n">
        <v>16</v>
      </c>
      <c r="B18" t="n">
        <v>20</v>
      </c>
      <c r="C18" t="n">
        <v>10</v>
      </c>
    </row>
    <row r="19">
      <c r="A19" t="n">
        <v>17</v>
      </c>
      <c r="B19" t="n">
        <v>20</v>
      </c>
      <c r="C19" t="n">
        <v>10</v>
      </c>
    </row>
    <row r="20">
      <c r="A20" t="n">
        <v>18</v>
      </c>
      <c r="B20" t="n">
        <v>20</v>
      </c>
      <c r="C20" t="n">
        <v>10</v>
      </c>
    </row>
    <row r="21">
      <c r="A21" t="n">
        <v>19</v>
      </c>
      <c r="B21" t="n">
        <v>20</v>
      </c>
      <c r="C21" t="n">
        <v>10</v>
      </c>
    </row>
    <row r="22">
      <c r="A22" t="n">
        <v>20</v>
      </c>
      <c r="B22" t="n">
        <v>20</v>
      </c>
      <c r="C22" t="n">
        <v>10</v>
      </c>
    </row>
    <row r="23">
      <c r="A23" t="n">
        <v>21</v>
      </c>
      <c r="B23" t="n">
        <v>20</v>
      </c>
      <c r="C23" t="n">
        <v>10</v>
      </c>
    </row>
    <row r="24">
      <c r="A24" t="n">
        <v>22</v>
      </c>
      <c r="B24" t="n">
        <v>20</v>
      </c>
      <c r="C24" t="n">
        <v>10</v>
      </c>
    </row>
    <row r="25">
      <c r="A25" t="n">
        <v>23</v>
      </c>
      <c r="B25" t="n">
        <v>20</v>
      </c>
      <c r="C25" t="n">
        <v>10</v>
      </c>
    </row>
    <row r="26">
      <c r="A26" t="n">
        <v>24</v>
      </c>
      <c r="B26" t="n">
        <v>20</v>
      </c>
      <c r="C26" t="n">
        <v>10</v>
      </c>
    </row>
    <row r="27">
      <c r="A27" t="n">
        <v>25</v>
      </c>
      <c r="B27" t="n">
        <v>20</v>
      </c>
      <c r="C27" t="n">
        <v>10</v>
      </c>
    </row>
    <row r="28">
      <c r="A28" t="n">
        <v>26</v>
      </c>
      <c r="B28" t="n">
        <v>20</v>
      </c>
      <c r="C28" t="n">
        <v>10</v>
      </c>
    </row>
    <row r="29">
      <c r="A29" t="n">
        <v>27</v>
      </c>
      <c r="B29" t="n">
        <v>20</v>
      </c>
      <c r="C29" t="n">
        <v>10</v>
      </c>
    </row>
    <row r="30">
      <c r="A30" t="n">
        <v>28</v>
      </c>
      <c r="B30" t="n">
        <v>20</v>
      </c>
      <c r="C30" t="n">
        <v>10</v>
      </c>
    </row>
    <row r="31">
      <c r="A31" t="n">
        <v>29</v>
      </c>
      <c r="B31" t="n">
        <v>20</v>
      </c>
      <c r="C31" t="n">
        <v>10</v>
      </c>
    </row>
    <row r="32">
      <c r="A32" t="n">
        <v>30</v>
      </c>
      <c r="B32" t="n">
        <v>20</v>
      </c>
      <c r="C32" t="n">
        <v>10</v>
      </c>
    </row>
    <row r="33">
      <c r="A33" t="n">
        <v>31</v>
      </c>
      <c r="B33" t="n">
        <v>20</v>
      </c>
      <c r="C33" t="n">
        <v>10</v>
      </c>
    </row>
    <row r="34">
      <c r="A34" t="n">
        <v>32</v>
      </c>
      <c r="B34" t="n">
        <v>20</v>
      </c>
      <c r="C34" t="n">
        <v>10</v>
      </c>
    </row>
    <row r="35">
      <c r="A35" t="n">
        <v>33</v>
      </c>
      <c r="B35" t="n">
        <v>20</v>
      </c>
      <c r="C35" t="n">
        <v>10</v>
      </c>
    </row>
    <row r="36">
      <c r="A36" t="n">
        <v>34</v>
      </c>
      <c r="B36" t="n">
        <v>20</v>
      </c>
      <c r="C36" t="n">
        <v>10</v>
      </c>
    </row>
    <row r="37">
      <c r="A37" t="n">
        <v>35</v>
      </c>
      <c r="B37" t="n">
        <v>20</v>
      </c>
      <c r="C37" t="n">
        <v>10</v>
      </c>
    </row>
    <row r="38">
      <c r="A38" t="n">
        <v>36</v>
      </c>
      <c r="B38" t="n">
        <v>20</v>
      </c>
      <c r="C38" t="n">
        <v>10</v>
      </c>
    </row>
    <row r="39">
      <c r="A39" t="n">
        <v>37</v>
      </c>
      <c r="B39" t="n">
        <v>19</v>
      </c>
      <c r="C39" t="n">
        <v>10</v>
      </c>
    </row>
    <row r="40">
      <c r="A40" t="n">
        <v>38</v>
      </c>
      <c r="B40" t="n">
        <v>18</v>
      </c>
      <c r="C40" t="n">
        <v>10</v>
      </c>
    </row>
    <row r="41">
      <c r="A41" t="n">
        <v>39</v>
      </c>
      <c r="B41" t="n">
        <v>17</v>
      </c>
      <c r="C41" t="n">
        <v>9</v>
      </c>
    </row>
    <row r="42">
      <c r="A42" t="n">
        <v>40</v>
      </c>
      <c r="B42" t="n">
        <v>17</v>
      </c>
      <c r="C42" t="n">
        <v>9</v>
      </c>
    </row>
    <row r="43">
      <c r="A43" t="n">
        <v>41</v>
      </c>
      <c r="B43" t="n">
        <v>16</v>
      </c>
      <c r="C43" t="n">
        <v>9</v>
      </c>
    </row>
    <row r="44">
      <c r="A44" t="n">
        <v>42</v>
      </c>
      <c r="B44" t="n">
        <v>15</v>
      </c>
      <c r="C44" t="n">
        <v>8</v>
      </c>
    </row>
    <row r="45">
      <c r="A45" t="n">
        <v>43</v>
      </c>
      <c r="B45" t="n">
        <v>14</v>
      </c>
      <c r="C45" t="n">
        <v>8</v>
      </c>
    </row>
    <row r="46">
      <c r="A46" t="n">
        <v>44</v>
      </c>
      <c r="B46" t="n">
        <v>13</v>
      </c>
      <c r="C46" t="n">
        <v>7</v>
      </c>
    </row>
    <row r="47">
      <c r="A47" t="n">
        <v>45</v>
      </c>
      <c r="B47" t="n">
        <v>13</v>
      </c>
      <c r="C47" t="n">
        <v>7</v>
      </c>
    </row>
    <row r="48">
      <c r="A48" t="n">
        <v>46</v>
      </c>
      <c r="B48" t="n">
        <v>12</v>
      </c>
      <c r="C48" t="n">
        <v>7</v>
      </c>
    </row>
    <row r="49">
      <c r="A49" t="n">
        <v>47</v>
      </c>
      <c r="B49" t="n">
        <v>11</v>
      </c>
      <c r="C49" t="n">
        <v>6</v>
      </c>
    </row>
    <row r="50">
      <c r="A50" t="n">
        <v>48</v>
      </c>
      <c r="B50" t="n">
        <v>10</v>
      </c>
      <c r="C50" t="n">
        <v>6</v>
      </c>
    </row>
    <row r="51">
      <c r="A51" t="n">
        <v>49</v>
      </c>
      <c r="B51" t="n">
        <v>9</v>
      </c>
      <c r="C51" t="n">
        <v>5</v>
      </c>
    </row>
    <row r="52">
      <c r="A52" t="n">
        <v>50</v>
      </c>
      <c r="B52" t="n">
        <v>9</v>
      </c>
      <c r="C52" t="n">
        <v>5</v>
      </c>
    </row>
    <row r="53">
      <c r="A53" t="n">
        <v>51</v>
      </c>
      <c r="B53" t="n">
        <v>8</v>
      </c>
      <c r="C53" t="n">
        <v>5</v>
      </c>
    </row>
    <row r="54">
      <c r="A54" t="n">
        <v>52</v>
      </c>
      <c r="B54" t="n">
        <v>7</v>
      </c>
      <c r="C54" t="n">
        <v>4</v>
      </c>
    </row>
    <row r="55">
      <c r="A55" t="n">
        <v>53</v>
      </c>
      <c r="B55" t="n">
        <v>6</v>
      </c>
      <c r="C55" t="n">
        <v>4</v>
      </c>
    </row>
    <row r="56">
      <c r="A56" t="n">
        <v>54</v>
      </c>
      <c r="B56" t="n">
        <v>5</v>
      </c>
      <c r="C56" t="n">
        <v>3</v>
      </c>
    </row>
    <row r="57">
      <c r="A57" t="n">
        <v>55</v>
      </c>
      <c r="B57" t="n">
        <v>5</v>
      </c>
      <c r="C57" t="n">
        <v>3</v>
      </c>
    </row>
    <row r="58">
      <c r="A58" t="n">
        <v>56</v>
      </c>
      <c r="B58" t="n">
        <v>4</v>
      </c>
      <c r="C58" t="n">
        <v>3</v>
      </c>
    </row>
    <row r="59">
      <c r="A59" t="n">
        <v>57</v>
      </c>
      <c r="B59" t="n">
        <v>3</v>
      </c>
      <c r="C59" t="n">
        <v>2</v>
      </c>
    </row>
    <row r="60">
      <c r="A60" t="n">
        <v>58</v>
      </c>
      <c r="B60" t="n">
        <v>2</v>
      </c>
      <c r="C60" t="n">
        <v>2</v>
      </c>
    </row>
    <row r="61">
      <c r="A61" t="n">
        <v>59</v>
      </c>
      <c r="B61" t="n">
        <v>1</v>
      </c>
      <c r="C61" t="n">
        <v>1</v>
      </c>
    </row>
    <row r="62">
      <c r="A62" t="n">
        <v>60</v>
      </c>
      <c r="B62" t="n">
        <v>1</v>
      </c>
      <c r="C62" t="n">
        <v>1</v>
      </c>
    </row>
    <row r="63">
      <c r="A63" t="n">
        <v>61</v>
      </c>
      <c r="B63" t="n">
        <v>0</v>
      </c>
      <c r="C63" t="n">
        <v>0</v>
      </c>
    </row>
    <row r="64">
      <c r="A64" t="n">
        <v>62</v>
      </c>
      <c r="B64" t="n">
        <v>0</v>
      </c>
      <c r="C64" t="n">
        <v>0</v>
      </c>
    </row>
    <row r="65">
      <c r="A65" t="n">
        <v>63</v>
      </c>
      <c r="B65" t="n">
        <v>0</v>
      </c>
      <c r="C65" t="n">
        <v>0</v>
      </c>
    </row>
    <row r="66">
      <c r="A66" t="n">
        <v>64</v>
      </c>
      <c r="B66" t="n">
        <v>0</v>
      </c>
      <c r="C66" t="n">
        <v>0</v>
      </c>
    </row>
    <row r="67">
      <c r="A67" t="n">
        <v>65</v>
      </c>
      <c r="B67" t="n">
        <v>0</v>
      </c>
      <c r="C67" t="n">
        <v>0</v>
      </c>
    </row>
    <row r="68">
      <c r="A68" t="n">
        <v>66</v>
      </c>
      <c r="B68" t="n">
        <v>0</v>
      </c>
      <c r="C68" t="n">
        <v>0</v>
      </c>
    </row>
    <row r="69">
      <c r="A69" t="n">
        <v>67</v>
      </c>
      <c r="B69" t="n">
        <v>0</v>
      </c>
      <c r="C69" t="n">
        <v>0</v>
      </c>
    </row>
    <row r="70">
      <c r="A70" t="n">
        <v>68</v>
      </c>
      <c r="B70" t="n">
        <v>0</v>
      </c>
      <c r="C70" t="n">
        <v>0</v>
      </c>
    </row>
    <row r="71">
      <c r="A71" t="n">
        <v>69</v>
      </c>
      <c r="B71" t="n">
        <v>0</v>
      </c>
      <c r="C71" t="n">
        <v>0</v>
      </c>
    </row>
    <row r="72">
      <c r="A72" t="n">
        <v>70</v>
      </c>
      <c r="B72" t="n">
        <v>0</v>
      </c>
      <c r="C72" t="n">
        <v>0</v>
      </c>
    </row>
    <row r="73">
      <c r="A73" t="n">
        <v>71</v>
      </c>
      <c r="B73" t="n">
        <v>0</v>
      </c>
      <c r="C73" t="n">
        <v>0</v>
      </c>
    </row>
    <row r="74">
      <c r="A74" t="n">
        <v>72</v>
      </c>
      <c r="B74" t="n">
        <v>0</v>
      </c>
      <c r="C74" t="n">
        <v>0</v>
      </c>
    </row>
    <row r="75">
      <c r="A75" t="n">
        <v>73</v>
      </c>
      <c r="B75" t="n">
        <v>0</v>
      </c>
      <c r="C75" t="n">
        <v>0</v>
      </c>
    </row>
    <row r="76">
      <c r="A76" t="n">
        <v>74</v>
      </c>
      <c r="B76" t="n">
        <v>0</v>
      </c>
      <c r="C76" t="n">
        <v>0</v>
      </c>
    </row>
    <row r="77">
      <c r="A77" t="n">
        <v>75</v>
      </c>
      <c r="B77" t="n">
        <v>0</v>
      </c>
      <c r="C77" t="n">
        <v>0</v>
      </c>
    </row>
    <row r="78">
      <c r="A78" t="n">
        <v>76</v>
      </c>
      <c r="B78" t="n">
        <v>0</v>
      </c>
      <c r="C78" t="n">
        <v>0</v>
      </c>
    </row>
    <row r="79">
      <c r="A79" t="n">
        <v>77</v>
      </c>
      <c r="B79" t="n">
        <v>0</v>
      </c>
      <c r="C79" t="n">
        <v>0</v>
      </c>
    </row>
    <row r="80">
      <c r="A80" t="n">
        <v>78</v>
      </c>
      <c r="B80" t="n">
        <v>0</v>
      </c>
      <c r="C80" t="n">
        <v>0</v>
      </c>
    </row>
    <row r="81">
      <c r="A81" t="n">
        <v>79</v>
      </c>
      <c r="B81" t="n">
        <v>0</v>
      </c>
      <c r="C81" t="n">
        <v>0</v>
      </c>
    </row>
    <row r="82">
      <c r="A82" t="n">
        <v>80</v>
      </c>
      <c r="B82" t="n">
        <v>0</v>
      </c>
      <c r="C82" t="n">
        <v>0</v>
      </c>
    </row>
    <row r="83">
      <c r="A83" t="n">
        <v>81</v>
      </c>
      <c r="B83" t="n">
        <v>0</v>
      </c>
      <c r="C83" t="n">
        <v>0</v>
      </c>
    </row>
    <row r="84">
      <c r="A84" t="n">
        <v>82</v>
      </c>
      <c r="B84" t="n">
        <v>0</v>
      </c>
      <c r="C84" t="n">
        <v>0</v>
      </c>
    </row>
    <row r="85">
      <c r="A85" t="n">
        <v>83</v>
      </c>
      <c r="B85" t="n">
        <v>0</v>
      </c>
      <c r="C85" t="n">
        <v>0</v>
      </c>
    </row>
    <row r="86">
      <c r="A86" t="n">
        <v>84</v>
      </c>
      <c r="B86" t="n">
        <v>0</v>
      </c>
      <c r="C86" t="n">
        <v>0</v>
      </c>
    </row>
    <row r="87">
      <c r="A87" t="n">
        <v>85</v>
      </c>
      <c r="B87" t="n">
        <v>0</v>
      </c>
      <c r="C87" t="n">
        <v>0</v>
      </c>
    </row>
    <row r="88">
      <c r="A88" t="n">
        <v>86</v>
      </c>
      <c r="B88" t="n">
        <v>0</v>
      </c>
      <c r="C88" t="n">
        <v>0</v>
      </c>
    </row>
    <row r="89">
      <c r="A89" t="n">
        <v>87</v>
      </c>
      <c r="B89" t="n">
        <v>0</v>
      </c>
      <c r="C89" t="n">
        <v>0</v>
      </c>
    </row>
    <row r="90">
      <c r="A90" t="n">
        <v>88</v>
      </c>
      <c r="B90" t="n">
        <v>0</v>
      </c>
      <c r="C90" t="n">
        <v>0</v>
      </c>
    </row>
    <row r="91">
      <c r="A91" t="n">
        <v>89</v>
      </c>
      <c r="B91" t="n">
        <v>0</v>
      </c>
      <c r="C91" t="n">
        <v>0</v>
      </c>
    </row>
    <row r="92">
      <c r="A92" t="n">
        <v>90</v>
      </c>
      <c r="B92" t="n">
        <v>0</v>
      </c>
      <c r="C92" t="n">
        <v>0</v>
      </c>
    </row>
    <row r="93">
      <c r="A93" t="n">
        <v>91</v>
      </c>
      <c r="B93" t="n">
        <v>0</v>
      </c>
      <c r="C93" t="n">
        <v>0</v>
      </c>
    </row>
    <row r="94">
      <c r="A94" t="n">
        <v>92</v>
      </c>
      <c r="B94" t="n">
        <v>0</v>
      </c>
      <c r="C94" t="n">
        <v>0</v>
      </c>
    </row>
    <row r="95">
      <c r="A95" t="n">
        <v>93</v>
      </c>
      <c r="B95" t="n">
        <v>0</v>
      </c>
      <c r="C95" t="n">
        <v>0</v>
      </c>
    </row>
    <row r="96">
      <c r="A96" t="n">
        <v>94</v>
      </c>
      <c r="B96" t="n">
        <v>0</v>
      </c>
      <c r="C96" t="n">
        <v>0</v>
      </c>
    </row>
    <row r="97">
      <c r="A97" t="n">
        <v>95</v>
      </c>
      <c r="B97" t="n">
        <v>0</v>
      </c>
      <c r="C97" t="n">
        <v>0</v>
      </c>
    </row>
    <row r="98">
      <c r="A98" t="n">
        <v>96</v>
      </c>
      <c r="B98" t="n">
        <v>0</v>
      </c>
      <c r="C98" t="n">
        <v>0</v>
      </c>
    </row>
    <row r="99">
      <c r="A99" t="n">
        <v>97</v>
      </c>
      <c r="B99" t="n">
        <v>0</v>
      </c>
      <c r="C99" t="n">
        <v>0</v>
      </c>
    </row>
    <row r="100">
      <c r="A100" t="n">
        <v>98</v>
      </c>
      <c r="B100" t="n">
        <v>0</v>
      </c>
      <c r="C100" t="n">
        <v>0</v>
      </c>
    </row>
    <row r="101">
      <c r="A101" t="n">
        <v>99</v>
      </c>
      <c r="B101" t="n">
        <v>0</v>
      </c>
      <c r="C101" t="n">
        <v>0</v>
      </c>
    </row>
    <row r="102">
      <c r="A102" t="n">
        <v>100</v>
      </c>
      <c r="B102" t="n">
        <v>0</v>
      </c>
      <c r="C102" t="n">
        <v>0</v>
      </c>
    </row>
    <row r="103">
      <c r="A103" t="n">
        <v>101</v>
      </c>
      <c r="B103" t="n">
        <v>0</v>
      </c>
      <c r="C103" t="n">
        <v>0</v>
      </c>
    </row>
    <row r="104">
      <c r="A104" t="n">
        <v>102</v>
      </c>
      <c r="B104" t="n">
        <v>0</v>
      </c>
      <c r="C104" t="n">
        <v>0</v>
      </c>
    </row>
    <row r="105">
      <c r="A105" t="n">
        <v>103</v>
      </c>
      <c r="B105" t="n">
        <v>0</v>
      </c>
      <c r="C105" t="n">
        <v>0</v>
      </c>
    </row>
    <row r="106">
      <c r="A106" t="n">
        <v>104</v>
      </c>
      <c r="B106" t="n">
        <v>0</v>
      </c>
      <c r="C106" t="n">
        <v>0</v>
      </c>
    </row>
    <row r="107">
      <c r="A107" t="n">
        <v>105</v>
      </c>
      <c r="B107" t="n">
        <v>0</v>
      </c>
      <c r="C107" t="n">
        <v>0</v>
      </c>
    </row>
    <row r="108">
      <c r="A108" t="n">
        <v>106</v>
      </c>
      <c r="B108" t="n">
        <v>0</v>
      </c>
      <c r="C108" t="n">
        <v>0</v>
      </c>
    </row>
    <row r="109">
      <c r="A109" t="n">
        <v>107</v>
      </c>
      <c r="B109" t="n">
        <v>0</v>
      </c>
      <c r="C109" t="n">
        <v>0</v>
      </c>
    </row>
    <row r="110">
      <c r="A110" t="n">
        <v>108</v>
      </c>
      <c r="B110" t="n">
        <v>0</v>
      </c>
      <c r="C110" t="n">
        <v>0</v>
      </c>
    </row>
    <row r="111">
      <c r="A111" t="n">
        <v>109</v>
      </c>
      <c r="B111" t="n">
        <v>0</v>
      </c>
      <c r="C111" t="n">
        <v>0</v>
      </c>
    </row>
    <row r="112">
      <c r="A112" t="n">
        <v>110</v>
      </c>
      <c r="B112" t="n">
        <v>0</v>
      </c>
      <c r="C112" t="n">
        <v>0</v>
      </c>
    </row>
    <row r="113">
      <c r="A113" t="n">
        <v>111</v>
      </c>
      <c r="B113" t="n">
        <v>0</v>
      </c>
      <c r="C113" t="n">
        <v>0</v>
      </c>
    </row>
    <row r="114">
      <c r="A114" t="n">
        <v>112</v>
      </c>
      <c r="B114" t="n">
        <v>0</v>
      </c>
      <c r="C114" t="n">
        <v>0</v>
      </c>
    </row>
    <row r="115">
      <c r="A115" t="n">
        <v>113</v>
      </c>
      <c r="B115" t="n">
        <v>0</v>
      </c>
      <c r="C115" t="n">
        <v>0</v>
      </c>
    </row>
    <row r="116">
      <c r="A116" t="n">
        <v>114</v>
      </c>
      <c r="B116" t="n">
        <v>0</v>
      </c>
      <c r="C116" t="n">
        <v>0</v>
      </c>
    </row>
    <row r="117">
      <c r="A117" t="n">
        <v>115</v>
      </c>
      <c r="B117" t="n">
        <v>0</v>
      </c>
      <c r="C117" t="n">
        <v>0</v>
      </c>
    </row>
    <row r="118">
      <c r="A118" t="n">
        <v>116</v>
      </c>
      <c r="B118" t="n">
        <v>0</v>
      </c>
      <c r="C118" t="n">
        <v>0</v>
      </c>
    </row>
    <row r="119">
      <c r="A119" t="n">
        <v>117</v>
      </c>
      <c r="B119" t="n">
        <v>0</v>
      </c>
      <c r="C119" t="n">
        <v>0</v>
      </c>
    </row>
    <row r="120">
      <c r="A120" t="n">
        <v>118</v>
      </c>
      <c r="B120" t="n">
        <v>0</v>
      </c>
      <c r="C120" t="n">
        <v>0</v>
      </c>
    </row>
    <row r="121">
      <c r="A121" t="n">
        <v>119</v>
      </c>
      <c r="B121" t="n">
        <v>0</v>
      </c>
      <c r="C121" t="n">
        <v>0</v>
      </c>
    </row>
    <row r="122">
      <c r="A122" t="n">
        <v>120</v>
      </c>
      <c r="B122" t="n">
        <v>0</v>
      </c>
      <c r="C122" t="n">
        <v>0</v>
      </c>
    </row>
    <row r="123">
      <c r="A123" t="n">
        <v>121</v>
      </c>
      <c r="B123" t="n">
        <v>0</v>
      </c>
      <c r="C123" t="n">
        <v>0</v>
      </c>
    </row>
    <row r="124">
      <c r="A124" t="n">
        <v>122</v>
      </c>
      <c r="B124" t="n">
        <v>0</v>
      </c>
      <c r="C124" t="n">
        <v>0</v>
      </c>
    </row>
    <row r="125">
      <c r="A125" t="n">
        <v>123</v>
      </c>
      <c r="B125" t="n">
        <v>0</v>
      </c>
      <c r="C125" t="n">
        <v>0</v>
      </c>
    </row>
    <row r="126">
      <c r="A126" t="n">
        <v>124</v>
      </c>
      <c r="B126" t="n">
        <v>-1</v>
      </c>
      <c r="C126" t="n">
        <v>-1</v>
      </c>
    </row>
    <row r="127">
      <c r="A127" t="n">
        <v>125</v>
      </c>
      <c r="B127" t="n">
        <v>-1</v>
      </c>
      <c r="C127" t="n">
        <v>-1</v>
      </c>
    </row>
    <row r="128">
      <c r="A128" t="n">
        <v>126</v>
      </c>
      <c r="B128" t="n">
        <v>-1</v>
      </c>
      <c r="C128" t="n">
        <v>-1</v>
      </c>
    </row>
    <row r="129">
      <c r="A129" t="n">
        <v>127</v>
      </c>
      <c r="B129" t="n">
        <v>-2</v>
      </c>
      <c r="C129" t="n">
        <v>-2</v>
      </c>
    </row>
    <row r="130">
      <c r="A130" t="n">
        <v>128</v>
      </c>
      <c r="B130" t="n">
        <v>-2</v>
      </c>
      <c r="C130" t="n">
        <v>-2</v>
      </c>
    </row>
    <row r="131">
      <c r="A131" t="n">
        <v>129</v>
      </c>
      <c r="B131" t="n">
        <v>-3</v>
      </c>
      <c r="C131" t="n">
        <v>-2</v>
      </c>
    </row>
    <row r="132">
      <c r="A132" t="n">
        <v>130</v>
      </c>
      <c r="B132" t="n">
        <v>-3</v>
      </c>
      <c r="C132" t="n">
        <v>-2</v>
      </c>
    </row>
    <row r="133">
      <c r="A133" t="n">
        <v>131</v>
      </c>
      <c r="B133" t="n">
        <v>-3</v>
      </c>
      <c r="C133" t="n">
        <v>-2</v>
      </c>
    </row>
    <row r="134">
      <c r="A134" t="n">
        <v>132</v>
      </c>
      <c r="B134" t="n">
        <v>-4</v>
      </c>
      <c r="C134" t="n">
        <v>-3</v>
      </c>
    </row>
    <row r="135">
      <c r="A135" t="n">
        <v>133</v>
      </c>
      <c r="B135" t="n">
        <v>-4</v>
      </c>
      <c r="C135" t="n">
        <v>-3</v>
      </c>
    </row>
    <row r="136">
      <c r="A136" t="n">
        <v>134</v>
      </c>
      <c r="B136" t="n">
        <v>-5</v>
      </c>
      <c r="C136" t="n">
        <v>-3</v>
      </c>
    </row>
    <row r="137">
      <c r="A137" t="n">
        <v>135</v>
      </c>
      <c r="B137" t="n">
        <v>-5</v>
      </c>
      <c r="C137" t="n">
        <v>-3</v>
      </c>
    </row>
    <row r="138">
      <c r="A138" t="n">
        <v>136</v>
      </c>
      <c r="B138" t="n">
        <v>-5</v>
      </c>
      <c r="C138" t="n">
        <v>-3</v>
      </c>
    </row>
    <row r="139">
      <c r="A139" t="n">
        <v>137</v>
      </c>
      <c r="B139" t="n">
        <v>-6</v>
      </c>
      <c r="C139" t="n">
        <v>-4</v>
      </c>
    </row>
    <row r="140">
      <c r="A140" t="n">
        <v>138</v>
      </c>
      <c r="B140" t="n">
        <v>-6</v>
      </c>
      <c r="C140" t="n">
        <v>-4</v>
      </c>
    </row>
    <row r="141">
      <c r="A141" t="n">
        <v>139</v>
      </c>
      <c r="B141" t="n">
        <v>-7</v>
      </c>
      <c r="C141" t="n">
        <v>-4</v>
      </c>
    </row>
    <row r="142">
      <c r="A142" t="n">
        <v>140</v>
      </c>
      <c r="B142" t="n">
        <v>-7</v>
      </c>
      <c r="C142" t="n">
        <v>-4</v>
      </c>
    </row>
    <row r="143">
      <c r="A143" t="n">
        <v>141</v>
      </c>
      <c r="B143" t="n">
        <v>-7</v>
      </c>
      <c r="C143" t="n">
        <v>-4</v>
      </c>
    </row>
    <row r="144">
      <c r="A144" t="n">
        <v>142</v>
      </c>
      <c r="B144" t="n">
        <v>-8</v>
      </c>
      <c r="C144" t="n">
        <v>-5</v>
      </c>
    </row>
    <row r="145">
      <c r="A145" t="n">
        <v>143</v>
      </c>
      <c r="B145" t="n">
        <v>-8</v>
      </c>
      <c r="C145" t="n">
        <v>-5</v>
      </c>
    </row>
    <row r="146">
      <c r="A146" t="n">
        <v>144</v>
      </c>
      <c r="B146" t="n">
        <v>-9</v>
      </c>
      <c r="C146" t="n">
        <v>-5</v>
      </c>
    </row>
    <row r="147">
      <c r="A147" t="n">
        <v>145</v>
      </c>
      <c r="B147" t="n">
        <v>-9</v>
      </c>
      <c r="C147" t="n">
        <v>-5</v>
      </c>
    </row>
    <row r="148">
      <c r="A148" t="n">
        <v>146</v>
      </c>
      <c r="B148" t="n">
        <v>-9</v>
      </c>
      <c r="C148" t="n">
        <v>-5</v>
      </c>
    </row>
    <row r="149">
      <c r="A149" t="n">
        <v>147</v>
      </c>
      <c r="B149" t="n">
        <v>-10</v>
      </c>
      <c r="C149" t="n">
        <v>-6</v>
      </c>
    </row>
    <row r="150">
      <c r="A150" t="n">
        <v>148</v>
      </c>
      <c r="B150" t="n">
        <v>-10</v>
      </c>
      <c r="C150" t="n">
        <v>-6</v>
      </c>
    </row>
    <row r="151">
      <c r="A151" t="n">
        <v>149</v>
      </c>
      <c r="B151" t="n">
        <v>-11</v>
      </c>
      <c r="C151" t="n">
        <v>-6</v>
      </c>
    </row>
    <row r="152">
      <c r="A152" t="n">
        <v>150</v>
      </c>
      <c r="B152" t="n">
        <v>-11</v>
      </c>
      <c r="C152" t="n">
        <v>-6</v>
      </c>
    </row>
    <row r="153">
      <c r="A153" t="n">
        <v>151</v>
      </c>
      <c r="B153" t="n">
        <v>-11</v>
      </c>
      <c r="C153" t="n">
        <v>-6</v>
      </c>
    </row>
    <row r="154">
      <c r="A154" t="n">
        <v>152</v>
      </c>
      <c r="B154" t="n">
        <v>-12</v>
      </c>
      <c r="C154" t="n">
        <v>-7</v>
      </c>
    </row>
    <row r="155">
      <c r="A155" t="n">
        <v>153</v>
      </c>
      <c r="B155" t="n">
        <v>-12</v>
      </c>
      <c r="C155" t="n">
        <v>-7</v>
      </c>
    </row>
    <row r="156">
      <c r="A156" t="n">
        <v>154</v>
      </c>
      <c r="B156" t="n">
        <v>-13</v>
      </c>
      <c r="C156" t="n">
        <v>-7</v>
      </c>
    </row>
    <row r="157">
      <c r="A157" t="n">
        <v>155</v>
      </c>
      <c r="B157" t="n">
        <v>-13</v>
      </c>
      <c r="C157" t="n">
        <v>-7</v>
      </c>
    </row>
    <row r="158">
      <c r="A158" t="n">
        <v>156</v>
      </c>
      <c r="B158" t="n">
        <v>-13</v>
      </c>
      <c r="C158" t="n">
        <v>-7</v>
      </c>
    </row>
    <row r="159">
      <c r="A159" t="n">
        <v>157</v>
      </c>
      <c r="B159" t="n">
        <v>-14</v>
      </c>
      <c r="C159" t="n">
        <v>-8</v>
      </c>
    </row>
    <row r="160">
      <c r="A160" t="n">
        <v>158</v>
      </c>
      <c r="B160" t="n">
        <v>-14</v>
      </c>
      <c r="C160" t="n">
        <v>-8</v>
      </c>
    </row>
    <row r="161">
      <c r="A161" t="n">
        <v>159</v>
      </c>
      <c r="B161" t="n">
        <v>-15</v>
      </c>
      <c r="C161" t="n">
        <v>-8</v>
      </c>
    </row>
    <row r="162">
      <c r="A162" t="n">
        <v>160</v>
      </c>
      <c r="B162" t="n">
        <v>-15</v>
      </c>
      <c r="C162" t="n">
        <v>-8</v>
      </c>
    </row>
    <row r="163">
      <c r="A163" t="n">
        <v>161</v>
      </c>
      <c r="B163" t="n">
        <v>-15</v>
      </c>
      <c r="C163" t="n">
        <v>-8</v>
      </c>
    </row>
    <row r="164">
      <c r="A164" t="n">
        <v>162</v>
      </c>
      <c r="B164" t="n">
        <v>-16</v>
      </c>
      <c r="C164" t="n">
        <v>-9</v>
      </c>
    </row>
    <row r="165">
      <c r="A165" t="n">
        <v>163</v>
      </c>
      <c r="B165" t="n">
        <v>-16</v>
      </c>
      <c r="C165" t="n">
        <v>-9</v>
      </c>
    </row>
    <row r="166">
      <c r="A166" t="n">
        <v>164</v>
      </c>
      <c r="B166" t="n">
        <v>-17</v>
      </c>
      <c r="C166" t="n">
        <v>-9</v>
      </c>
    </row>
    <row r="167">
      <c r="A167" t="n">
        <v>165</v>
      </c>
      <c r="B167" t="n">
        <v>-17</v>
      </c>
      <c r="C167" t="n">
        <v>-9</v>
      </c>
    </row>
    <row r="168">
      <c r="A168" t="n">
        <v>166</v>
      </c>
      <c r="B168" t="n">
        <v>-17</v>
      </c>
      <c r="C168" t="n">
        <v>-9</v>
      </c>
    </row>
    <row r="169">
      <c r="A169" t="n">
        <v>167</v>
      </c>
      <c r="B169" t="n">
        <v>-18</v>
      </c>
      <c r="C169" t="n">
        <v>-10</v>
      </c>
    </row>
    <row r="170">
      <c r="A170" t="n">
        <v>168</v>
      </c>
      <c r="B170" t="n">
        <v>-18</v>
      </c>
      <c r="C170" t="n">
        <v>-10</v>
      </c>
    </row>
    <row r="171">
      <c r="A171" t="n">
        <v>169</v>
      </c>
      <c r="B171" t="n">
        <v>-19</v>
      </c>
      <c r="C171" t="n">
        <v>-10</v>
      </c>
    </row>
    <row r="172">
      <c r="A172" t="n">
        <v>170</v>
      </c>
      <c r="B172" t="n">
        <v>-19</v>
      </c>
      <c r="C172" t="n">
        <v>-10</v>
      </c>
    </row>
    <row r="173">
      <c r="A173" t="n">
        <v>171</v>
      </c>
      <c r="B173" t="n">
        <v>-19</v>
      </c>
      <c r="C173" t="n">
        <v>-10</v>
      </c>
    </row>
    <row r="174">
      <c r="A174" t="n">
        <v>172</v>
      </c>
      <c r="B174" t="n">
        <v>-20</v>
      </c>
      <c r="C174" t="n">
        <v>-11</v>
      </c>
    </row>
    <row r="175">
      <c r="A175" t="n">
        <v>173</v>
      </c>
      <c r="B175" t="n">
        <v>-20</v>
      </c>
      <c r="C175" t="n">
        <v>-11</v>
      </c>
    </row>
    <row r="176">
      <c r="A176" t="n">
        <v>174</v>
      </c>
      <c r="B176" t="n">
        <v>-20</v>
      </c>
      <c r="C176" t="n">
        <v>-11</v>
      </c>
    </row>
    <row r="177">
      <c r="A177" t="n">
        <v>175</v>
      </c>
      <c r="B177" t="n">
        <v>-20</v>
      </c>
      <c r="C177" t="n">
        <v>-11</v>
      </c>
    </row>
    <row r="178">
      <c r="A178" t="n">
        <v>176</v>
      </c>
      <c r="B178" t="n">
        <v>-20</v>
      </c>
      <c r="C178" t="n">
        <v>-11</v>
      </c>
    </row>
    <row r="179">
      <c r="A179" t="n">
        <v>177</v>
      </c>
      <c r="B179" t="n">
        <v>-20</v>
      </c>
      <c r="C179" t="n">
        <v>-11</v>
      </c>
    </row>
    <row r="180">
      <c r="A180" t="n">
        <v>178</v>
      </c>
      <c r="B180" t="n">
        <v>-20</v>
      </c>
      <c r="C180" t="n">
        <v>-11</v>
      </c>
    </row>
    <row r="181">
      <c r="A181" t="n">
        <v>179</v>
      </c>
      <c r="B181" t="n">
        <v>-20</v>
      </c>
      <c r="C181" t="n">
        <v>-11</v>
      </c>
    </row>
    <row r="182">
      <c r="A182" t="n">
        <v>180</v>
      </c>
      <c r="B182" t="n">
        <v>-20</v>
      </c>
      <c r="C182" t="n">
        <v>-11</v>
      </c>
    </row>
    <row r="183">
      <c r="A183" t="n">
        <v>181</v>
      </c>
      <c r="B183" t="n">
        <v>-20</v>
      </c>
      <c r="C183" t="n">
        <v>-11</v>
      </c>
    </row>
    <row r="184">
      <c r="A184" t="n">
        <v>182</v>
      </c>
      <c r="B184" t="n">
        <v>-20</v>
      </c>
      <c r="C184" t="n">
        <v>-11</v>
      </c>
    </row>
    <row r="185">
      <c r="A185" t="n">
        <v>183</v>
      </c>
      <c r="B185" t="n">
        <v>-20</v>
      </c>
      <c r="C185" t="n">
        <v>-11</v>
      </c>
    </row>
    <row r="186">
      <c r="A186" t="n">
        <v>184</v>
      </c>
      <c r="B186" t="n">
        <v>-20</v>
      </c>
      <c r="C186" t="n">
        <v>-11</v>
      </c>
    </row>
    <row r="187">
      <c r="A187" t="n">
        <v>185</v>
      </c>
      <c r="B187" t="n">
        <v>-20</v>
      </c>
      <c r="C187" t="n">
        <v>-11</v>
      </c>
    </row>
    <row r="188">
      <c r="A188" t="n">
        <v>186</v>
      </c>
      <c r="B188" t="n">
        <v>-20</v>
      </c>
      <c r="C188" t="n">
        <v>-11</v>
      </c>
    </row>
    <row r="189">
      <c r="A189" t="n">
        <v>187</v>
      </c>
      <c r="B189" t="n">
        <v>-20</v>
      </c>
      <c r="C189" t="n">
        <v>-11</v>
      </c>
    </row>
    <row r="190">
      <c r="A190" t="n">
        <v>188</v>
      </c>
      <c r="B190" t="n">
        <v>-20</v>
      </c>
      <c r="C190" t="n">
        <v>-11</v>
      </c>
    </row>
    <row r="191">
      <c r="A191" t="n">
        <v>189</v>
      </c>
      <c r="B191" t="n">
        <v>-20</v>
      </c>
      <c r="C191" t="n">
        <v>-11</v>
      </c>
    </row>
    <row r="192">
      <c r="A192" t="n">
        <v>190</v>
      </c>
      <c r="B192" t="n">
        <v>-20</v>
      </c>
      <c r="C192" t="n">
        <v>-11</v>
      </c>
    </row>
    <row r="193">
      <c r="A193" t="n">
        <v>191</v>
      </c>
      <c r="B193" t="n">
        <v>-20</v>
      </c>
      <c r="C193" t="n">
        <v>-11</v>
      </c>
    </row>
    <row r="194">
      <c r="A194" t="n">
        <v>192</v>
      </c>
      <c r="B194" t="n">
        <v>-20</v>
      </c>
      <c r="C194" t="n">
        <v>-11</v>
      </c>
    </row>
    <row r="195">
      <c r="A195" t="n">
        <v>193</v>
      </c>
      <c r="B195" t="n">
        <v>-20</v>
      </c>
      <c r="C195" t="n">
        <v>-11</v>
      </c>
    </row>
    <row r="196">
      <c r="A196" t="n">
        <v>194</v>
      </c>
      <c r="B196" t="n">
        <v>-20</v>
      </c>
      <c r="C196" t="n">
        <v>-11</v>
      </c>
    </row>
    <row r="197">
      <c r="A197" t="n">
        <v>195</v>
      </c>
      <c r="B197" t="n">
        <v>-20</v>
      </c>
      <c r="C197" t="n">
        <v>-11</v>
      </c>
    </row>
    <row r="198">
      <c r="A198" t="n">
        <v>196</v>
      </c>
      <c r="B198" t="n">
        <v>-20</v>
      </c>
      <c r="C198" t="n">
        <v>-11</v>
      </c>
    </row>
    <row r="199">
      <c r="A199" t="n">
        <v>197</v>
      </c>
      <c r="B199" t="n">
        <v>-20</v>
      </c>
      <c r="C199" t="n">
        <v>-11</v>
      </c>
    </row>
    <row r="200">
      <c r="A200" t="n">
        <v>198</v>
      </c>
      <c r="B200" t="n">
        <v>-20</v>
      </c>
      <c r="C200" t="n">
        <v>-11</v>
      </c>
    </row>
    <row r="201">
      <c r="A201" t="n">
        <v>199</v>
      </c>
      <c r="B201" t="n">
        <v>-20</v>
      </c>
      <c r="C201" t="n">
        <v>-11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A/D Value</t>
        </is>
      </c>
      <c r="B1" s="4" t="inlineStr">
        <is>
          <t>2A, S Adjustment</t>
        </is>
      </c>
    </row>
    <row r="2">
      <c r="A2" t="n">
        <v>0</v>
      </c>
      <c r="B2" t="n">
        <v>-1</v>
      </c>
    </row>
    <row r="3">
      <c r="A3" t="n">
        <v>1</v>
      </c>
      <c r="B3" t="n">
        <v>-1</v>
      </c>
    </row>
    <row r="4">
      <c r="A4" t="n">
        <v>2</v>
      </c>
      <c r="B4" t="n">
        <v>-1</v>
      </c>
    </row>
    <row r="5">
      <c r="A5" t="n">
        <v>3</v>
      </c>
      <c r="B5" t="n">
        <v>-1</v>
      </c>
    </row>
    <row r="6">
      <c r="A6" t="n">
        <v>4</v>
      </c>
      <c r="B6" t="n">
        <v>-1</v>
      </c>
    </row>
    <row r="7">
      <c r="A7" t="n">
        <v>5</v>
      </c>
      <c r="B7" t="n">
        <v>-1</v>
      </c>
    </row>
    <row r="8">
      <c r="A8" t="n">
        <v>6</v>
      </c>
      <c r="B8" t="n">
        <v>-1</v>
      </c>
    </row>
    <row r="9">
      <c r="A9" t="n">
        <v>7</v>
      </c>
      <c r="B9" t="n">
        <v>-1</v>
      </c>
    </row>
    <row r="10">
      <c r="A10" t="n">
        <v>8</v>
      </c>
      <c r="B10" t="n">
        <v>-2</v>
      </c>
    </row>
    <row r="11">
      <c r="A11" t="n">
        <v>9</v>
      </c>
      <c r="B11" t="n">
        <v>-2</v>
      </c>
    </row>
    <row r="12">
      <c r="A12" t="n">
        <v>10</v>
      </c>
      <c r="B12" t="n">
        <v>-2</v>
      </c>
    </row>
    <row r="13">
      <c r="A13" t="n">
        <v>11</v>
      </c>
      <c r="B13" t="n">
        <v>-2</v>
      </c>
    </row>
    <row r="14">
      <c r="A14" t="n">
        <v>12</v>
      </c>
      <c r="B14" t="n">
        <v>-2</v>
      </c>
    </row>
    <row r="15">
      <c r="A15" t="n">
        <v>13</v>
      </c>
      <c r="B15" t="n">
        <v>-2</v>
      </c>
    </row>
    <row r="16">
      <c r="A16" t="n">
        <v>14</v>
      </c>
      <c r="B16" t="n">
        <v>-2</v>
      </c>
    </row>
    <row r="17">
      <c r="A17" t="n">
        <v>15</v>
      </c>
      <c r="B17" t="n">
        <v>-2</v>
      </c>
    </row>
    <row r="18">
      <c r="A18" t="n">
        <v>16</v>
      </c>
      <c r="B18" t="n">
        <v>-3</v>
      </c>
    </row>
    <row r="19">
      <c r="A19" t="n">
        <v>17</v>
      </c>
      <c r="B19" t="n">
        <v>-3</v>
      </c>
    </row>
    <row r="20">
      <c r="A20" t="n">
        <v>18</v>
      </c>
      <c r="B20" t="n">
        <v>-3</v>
      </c>
    </row>
    <row r="21">
      <c r="A21" t="n">
        <v>19</v>
      </c>
      <c r="B21" t="n">
        <v>-3</v>
      </c>
    </row>
    <row r="22">
      <c r="A22" t="n">
        <v>20</v>
      </c>
      <c r="B22" t="n">
        <v>-3</v>
      </c>
    </row>
    <row r="23">
      <c r="A23" t="n">
        <v>21</v>
      </c>
      <c r="B23" t="n">
        <v>-3</v>
      </c>
    </row>
    <row r="24">
      <c r="A24" t="n">
        <v>22</v>
      </c>
      <c r="B24" t="n">
        <v>-3</v>
      </c>
    </row>
    <row r="25">
      <c r="A25" t="n">
        <v>23</v>
      </c>
      <c r="B25" t="n">
        <v>-3</v>
      </c>
    </row>
    <row r="26">
      <c r="A26" t="n">
        <v>24</v>
      </c>
      <c r="B26" t="n">
        <v>-4</v>
      </c>
    </row>
    <row r="27">
      <c r="A27" t="n">
        <v>25</v>
      </c>
      <c r="B27" t="n">
        <v>-4</v>
      </c>
    </row>
    <row r="28">
      <c r="A28" t="n">
        <v>26</v>
      </c>
      <c r="B28" t="n">
        <v>-4</v>
      </c>
    </row>
    <row r="29">
      <c r="A29" t="n">
        <v>27</v>
      </c>
      <c r="B29" t="n">
        <v>-4</v>
      </c>
    </row>
    <row r="30">
      <c r="A30" t="n">
        <v>28</v>
      </c>
      <c r="B30" t="n">
        <v>-4</v>
      </c>
    </row>
    <row r="31">
      <c r="A31" t="n">
        <v>29</v>
      </c>
      <c r="B31" t="n">
        <v>-4</v>
      </c>
    </row>
    <row r="32">
      <c r="A32" t="n">
        <v>30</v>
      </c>
      <c r="B32" t="n">
        <v>-4</v>
      </c>
    </row>
    <row r="33">
      <c r="A33" t="n">
        <v>31</v>
      </c>
      <c r="B33" t="n">
        <v>-4</v>
      </c>
    </row>
    <row r="34">
      <c r="A34" t="n">
        <v>32</v>
      </c>
      <c r="B34" t="n">
        <v>-5</v>
      </c>
    </row>
    <row r="35">
      <c r="A35" t="n">
        <v>33</v>
      </c>
      <c r="B35" t="n">
        <v>-5</v>
      </c>
    </row>
    <row r="36">
      <c r="A36" t="n">
        <v>34</v>
      </c>
      <c r="B36" t="n">
        <v>-5</v>
      </c>
    </row>
    <row r="37">
      <c r="A37" t="n">
        <v>35</v>
      </c>
      <c r="B37" t="n">
        <v>-5</v>
      </c>
    </row>
    <row r="38">
      <c r="A38" t="n">
        <v>36</v>
      </c>
      <c r="B38" t="n">
        <v>-5</v>
      </c>
    </row>
    <row r="39">
      <c r="A39" t="n">
        <v>37</v>
      </c>
      <c r="B39" t="n">
        <v>-5</v>
      </c>
    </row>
    <row r="40">
      <c r="A40" t="n">
        <v>38</v>
      </c>
      <c r="B40" t="n">
        <v>-5</v>
      </c>
    </row>
    <row r="41">
      <c r="A41" t="n">
        <v>39</v>
      </c>
      <c r="B41" t="n">
        <v>-5</v>
      </c>
    </row>
    <row r="42">
      <c r="A42" t="n">
        <v>40</v>
      </c>
      <c r="B42" t="n">
        <v>-6</v>
      </c>
    </row>
    <row r="43">
      <c r="A43" t="n">
        <v>41</v>
      </c>
      <c r="B43" t="n">
        <v>-6</v>
      </c>
    </row>
    <row r="44">
      <c r="A44" t="n">
        <v>42</v>
      </c>
      <c r="B44" t="n">
        <v>-6</v>
      </c>
    </row>
    <row r="45">
      <c r="A45" t="n">
        <v>43</v>
      </c>
      <c r="B45" t="n">
        <v>-6</v>
      </c>
    </row>
    <row r="46">
      <c r="A46" t="n">
        <v>44</v>
      </c>
      <c r="B46" t="n">
        <v>-6</v>
      </c>
    </row>
    <row r="47">
      <c r="A47" t="n">
        <v>45</v>
      </c>
      <c r="B47" t="n">
        <v>-6</v>
      </c>
    </row>
    <row r="48">
      <c r="A48" t="n">
        <v>46</v>
      </c>
      <c r="B48" t="n">
        <v>-6</v>
      </c>
    </row>
    <row r="49">
      <c r="A49" t="n">
        <v>47</v>
      </c>
      <c r="B49" t="n">
        <v>-6</v>
      </c>
    </row>
    <row r="50">
      <c r="A50" t="n">
        <v>48</v>
      </c>
      <c r="B50" t="n">
        <v>-7</v>
      </c>
    </row>
    <row r="51">
      <c r="A51" t="n">
        <v>49</v>
      </c>
      <c r="B51" t="n">
        <v>-7</v>
      </c>
    </row>
    <row r="52">
      <c r="A52" t="n">
        <v>50</v>
      </c>
      <c r="B52" t="n">
        <v>-7</v>
      </c>
    </row>
    <row r="53">
      <c r="A53" t="n">
        <v>51</v>
      </c>
      <c r="B53" t="n">
        <v>-7</v>
      </c>
    </row>
    <row r="54">
      <c r="A54" t="n">
        <v>52</v>
      </c>
      <c r="B54" t="n">
        <v>-7</v>
      </c>
    </row>
    <row r="55">
      <c r="A55" t="n">
        <v>53</v>
      </c>
      <c r="B55" t="n">
        <v>-7</v>
      </c>
    </row>
    <row r="56">
      <c r="A56" t="n">
        <v>54</v>
      </c>
      <c r="B56" t="n">
        <v>-7</v>
      </c>
    </row>
    <row r="57">
      <c r="A57" t="n">
        <v>55</v>
      </c>
      <c r="B57" t="n">
        <v>-7</v>
      </c>
    </row>
    <row r="58">
      <c r="A58" t="n">
        <v>56</v>
      </c>
      <c r="B58" t="n">
        <v>-8</v>
      </c>
    </row>
    <row r="59">
      <c r="A59" t="n">
        <v>57</v>
      </c>
      <c r="B59" t="n">
        <v>-8</v>
      </c>
    </row>
    <row r="60">
      <c r="A60" t="n">
        <v>58</v>
      </c>
      <c r="B60" t="n">
        <v>-8</v>
      </c>
    </row>
    <row r="61">
      <c r="A61" t="n">
        <v>59</v>
      </c>
      <c r="B61" t="n">
        <v>-8</v>
      </c>
    </row>
    <row r="62">
      <c r="A62" t="n">
        <v>60</v>
      </c>
      <c r="B62" t="n">
        <v>-8</v>
      </c>
    </row>
    <row r="63">
      <c r="A63" t="n">
        <v>61</v>
      </c>
      <c r="B63" t="n">
        <v>-8</v>
      </c>
    </row>
    <row r="64">
      <c r="A64" t="n">
        <v>62</v>
      </c>
      <c r="B64" t="n">
        <v>-8</v>
      </c>
    </row>
    <row r="65">
      <c r="A65" t="n">
        <v>63</v>
      </c>
      <c r="B65" t="n">
        <v>-8</v>
      </c>
    </row>
    <row r="66">
      <c r="A66" t="n">
        <v>64</v>
      </c>
      <c r="B66" t="n">
        <v>-9</v>
      </c>
    </row>
    <row r="67">
      <c r="A67" t="n">
        <v>65</v>
      </c>
      <c r="B67" t="n">
        <v>-9</v>
      </c>
    </row>
    <row r="68">
      <c r="A68" t="n">
        <v>66</v>
      </c>
      <c r="B68" t="n">
        <v>-9</v>
      </c>
    </row>
    <row r="69">
      <c r="A69" t="n">
        <v>67</v>
      </c>
      <c r="B69" t="n">
        <v>-9</v>
      </c>
    </row>
    <row r="70">
      <c r="A70" t="n">
        <v>68</v>
      </c>
      <c r="B70" t="n">
        <v>-9</v>
      </c>
    </row>
    <row r="71">
      <c r="A71" t="n">
        <v>69</v>
      </c>
      <c r="B71" t="n">
        <v>-9</v>
      </c>
    </row>
    <row r="72">
      <c r="A72" t="n">
        <v>70</v>
      </c>
      <c r="B72" t="n">
        <v>-9</v>
      </c>
    </row>
    <row r="73">
      <c r="A73" t="n">
        <v>71</v>
      </c>
      <c r="B73" t="n">
        <v>-9</v>
      </c>
    </row>
    <row r="74">
      <c r="A74" t="n">
        <v>72</v>
      </c>
      <c r="B74" t="n">
        <v>-10</v>
      </c>
    </row>
    <row r="75">
      <c r="A75" t="n">
        <v>73</v>
      </c>
      <c r="B75" t="n">
        <v>-10</v>
      </c>
    </row>
    <row r="76">
      <c r="A76" t="n">
        <v>74</v>
      </c>
      <c r="B76" t="n">
        <v>-10</v>
      </c>
    </row>
    <row r="77">
      <c r="A77" t="n">
        <v>75</v>
      </c>
      <c r="B77" t="n">
        <v>-10</v>
      </c>
    </row>
    <row r="78">
      <c r="A78" t="n">
        <v>76</v>
      </c>
      <c r="B78" t="n">
        <v>-10</v>
      </c>
    </row>
    <row r="79">
      <c r="A79" t="n">
        <v>77</v>
      </c>
      <c r="B79" t="n">
        <v>-10</v>
      </c>
    </row>
    <row r="80">
      <c r="A80" t="n">
        <v>78</v>
      </c>
      <c r="B80" t="n">
        <v>-10</v>
      </c>
    </row>
    <row r="81">
      <c r="A81" t="n">
        <v>79</v>
      </c>
      <c r="B81" t="n">
        <v>-10</v>
      </c>
    </row>
    <row r="82">
      <c r="A82" t="n">
        <v>80</v>
      </c>
      <c r="B82" t="n">
        <v>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A/D Value</t>
        </is>
      </c>
      <c r="B1" s="4" t="inlineStr">
        <is>
          <t>2B, 8B, C Adjustment</t>
        </is>
      </c>
    </row>
    <row r="2">
      <c r="A2" t="n">
        <v>0</v>
      </c>
      <c r="B2" t="n">
        <v>-1</v>
      </c>
    </row>
    <row r="3">
      <c r="A3" t="n">
        <v>1</v>
      </c>
      <c r="B3" t="n">
        <v>-1</v>
      </c>
    </row>
    <row r="4">
      <c r="A4" t="n">
        <v>2</v>
      </c>
      <c r="B4" t="n">
        <v>-1</v>
      </c>
    </row>
    <row r="5">
      <c r="A5" t="n">
        <v>3</v>
      </c>
      <c r="B5" t="n">
        <v>-1</v>
      </c>
    </row>
    <row r="6">
      <c r="A6" t="n">
        <v>4</v>
      </c>
      <c r="B6" t="n">
        <v>-1</v>
      </c>
    </row>
    <row r="7">
      <c r="A7" t="n">
        <v>5</v>
      </c>
      <c r="B7" t="n">
        <v>-1</v>
      </c>
    </row>
    <row r="8">
      <c r="A8" t="n">
        <v>6</v>
      </c>
      <c r="B8" t="n">
        <v>-1</v>
      </c>
    </row>
    <row r="9">
      <c r="A9" t="n">
        <v>7</v>
      </c>
      <c r="B9" t="n">
        <v>-1</v>
      </c>
    </row>
    <row r="10">
      <c r="A10" t="n">
        <v>8</v>
      </c>
      <c r="B10" t="n">
        <v>-1</v>
      </c>
    </row>
    <row r="11">
      <c r="A11" t="n">
        <v>9</v>
      </c>
      <c r="B11" t="n">
        <v>-1</v>
      </c>
    </row>
    <row r="12">
      <c r="A12" t="n">
        <v>10</v>
      </c>
      <c r="B12" t="n">
        <v>-2</v>
      </c>
    </row>
    <row r="13">
      <c r="A13" t="n">
        <v>11</v>
      </c>
      <c r="B13" t="n">
        <v>-2</v>
      </c>
    </row>
    <row r="14">
      <c r="A14" t="n">
        <v>12</v>
      </c>
      <c r="B14" t="n">
        <v>-2</v>
      </c>
    </row>
    <row r="15">
      <c r="A15" t="n">
        <v>13</v>
      </c>
      <c r="B15" t="n">
        <v>-2</v>
      </c>
    </row>
    <row r="16">
      <c r="A16" t="n">
        <v>14</v>
      </c>
      <c r="B16" t="n">
        <v>-2</v>
      </c>
    </row>
    <row r="17">
      <c r="A17" t="n">
        <v>15</v>
      </c>
      <c r="B17" t="n">
        <v>-3</v>
      </c>
    </row>
    <row r="18">
      <c r="A18" t="n">
        <v>16</v>
      </c>
      <c r="B18" t="n">
        <v>-3</v>
      </c>
    </row>
    <row r="19">
      <c r="A19" t="n">
        <v>17</v>
      </c>
      <c r="B19" t="n">
        <v>-3</v>
      </c>
    </row>
    <row r="20">
      <c r="A20" t="n">
        <v>18</v>
      </c>
      <c r="B20" t="n">
        <v>-3</v>
      </c>
    </row>
    <row r="21">
      <c r="A21" t="n">
        <v>19</v>
      </c>
      <c r="B21" t="n">
        <v>-3</v>
      </c>
    </row>
    <row r="22">
      <c r="A22" t="n">
        <v>20</v>
      </c>
      <c r="B22" t="n">
        <v>-4</v>
      </c>
    </row>
    <row r="23">
      <c r="A23" t="n">
        <v>21</v>
      </c>
      <c r="B23" t="n">
        <v>-4</v>
      </c>
    </row>
    <row r="24">
      <c r="A24" t="n">
        <v>22</v>
      </c>
      <c r="B24" t="n">
        <v>-4</v>
      </c>
    </row>
    <row r="25">
      <c r="A25" t="n">
        <v>23</v>
      </c>
      <c r="B25" t="n">
        <v>-4</v>
      </c>
    </row>
    <row r="26">
      <c r="A26" t="n">
        <v>24</v>
      </c>
      <c r="B26" t="n">
        <v>-4</v>
      </c>
    </row>
    <row r="27">
      <c r="A27" t="n">
        <v>25</v>
      </c>
      <c r="B27" t="n">
        <v>-5</v>
      </c>
    </row>
    <row r="28">
      <c r="A28" t="n">
        <v>26</v>
      </c>
      <c r="B28" t="n">
        <v>-5</v>
      </c>
    </row>
    <row r="29">
      <c r="A29" t="n">
        <v>27</v>
      </c>
      <c r="B29" t="n">
        <v>-5</v>
      </c>
    </row>
    <row r="30">
      <c r="A30" t="n">
        <v>28</v>
      </c>
      <c r="B30" t="n">
        <v>-5</v>
      </c>
    </row>
    <row r="31">
      <c r="A31" t="n">
        <v>29</v>
      </c>
      <c r="B31" t="n">
        <v>-5</v>
      </c>
    </row>
    <row r="32">
      <c r="A32" t="n">
        <v>30</v>
      </c>
      <c r="B32" t="n">
        <v>-6</v>
      </c>
    </row>
    <row r="33">
      <c r="A33" t="n">
        <v>31</v>
      </c>
      <c r="B33" t="n">
        <v>-6</v>
      </c>
    </row>
    <row r="34">
      <c r="A34" t="n">
        <v>32</v>
      </c>
      <c r="B34" t="n">
        <v>-6</v>
      </c>
    </row>
    <row r="35">
      <c r="A35" t="n">
        <v>33</v>
      </c>
      <c r="B35" t="n">
        <v>-6</v>
      </c>
    </row>
    <row r="36">
      <c r="A36" t="n">
        <v>34</v>
      </c>
      <c r="B36" t="n">
        <v>-6</v>
      </c>
    </row>
    <row r="37">
      <c r="A37" t="n">
        <v>35</v>
      </c>
      <c r="B37" t="n">
        <v>-7</v>
      </c>
    </row>
    <row r="38">
      <c r="A38" t="n">
        <v>36</v>
      </c>
      <c r="B38" t="n">
        <v>-7</v>
      </c>
    </row>
    <row r="39">
      <c r="A39" t="n">
        <v>37</v>
      </c>
      <c r="B39" t="n">
        <v>-7</v>
      </c>
    </row>
    <row r="40">
      <c r="A40" t="n">
        <v>38</v>
      </c>
      <c r="B40" t="n">
        <v>-7</v>
      </c>
    </row>
    <row r="41">
      <c r="A41" t="n">
        <v>39</v>
      </c>
      <c r="B41" t="n">
        <v>-7</v>
      </c>
    </row>
    <row r="42">
      <c r="A42" t="n">
        <v>40</v>
      </c>
      <c r="B42" t="n">
        <v>-8</v>
      </c>
    </row>
    <row r="43">
      <c r="A43" t="n">
        <v>41</v>
      </c>
      <c r="B43" t="n">
        <v>-8</v>
      </c>
    </row>
    <row r="44">
      <c r="A44" t="n">
        <v>42</v>
      </c>
      <c r="B44" t="n">
        <v>-8</v>
      </c>
    </row>
    <row r="45">
      <c r="A45" t="n">
        <v>43</v>
      </c>
      <c r="B45" t="n">
        <v>-8</v>
      </c>
    </row>
    <row r="46">
      <c r="A46" t="n">
        <v>44</v>
      </c>
      <c r="B46" t="n">
        <v>-8</v>
      </c>
    </row>
    <row r="47">
      <c r="A47" t="n">
        <v>45</v>
      </c>
      <c r="B47" t="n">
        <v>-9</v>
      </c>
    </row>
    <row r="48">
      <c r="A48" t="n">
        <v>46</v>
      </c>
      <c r="B48" t="n">
        <v>-9</v>
      </c>
    </row>
    <row r="49">
      <c r="A49" t="n">
        <v>47</v>
      </c>
      <c r="B49" t="n">
        <v>-9</v>
      </c>
    </row>
    <row r="50">
      <c r="A50" t="n">
        <v>48</v>
      </c>
      <c r="B50" t="n">
        <v>-9</v>
      </c>
    </row>
    <row r="51">
      <c r="A51" t="n">
        <v>49</v>
      </c>
      <c r="B51" t="n">
        <v>-9</v>
      </c>
    </row>
    <row r="52">
      <c r="A52" t="n">
        <v>50</v>
      </c>
      <c r="B52" t="n">
        <v>-10</v>
      </c>
    </row>
    <row r="53">
      <c r="A53" t="n">
        <v>51</v>
      </c>
      <c r="B53" t="n">
        <v>-10</v>
      </c>
    </row>
    <row r="54">
      <c r="A54" t="n">
        <v>52</v>
      </c>
      <c r="B54" t="n">
        <v>-10</v>
      </c>
    </row>
    <row r="55">
      <c r="A55" t="n">
        <v>53</v>
      </c>
      <c r="B55" t="n">
        <v>-10</v>
      </c>
    </row>
    <row r="56">
      <c r="A56" t="n">
        <v>54</v>
      </c>
      <c r="B56" t="n">
        <v>-10</v>
      </c>
    </row>
    <row r="57">
      <c r="A57" t="n">
        <v>55</v>
      </c>
      <c r="B57" t="n">
        <v>-11</v>
      </c>
    </row>
    <row r="58">
      <c r="A58" t="n">
        <v>56</v>
      </c>
      <c r="B58" t="n">
        <v>-11</v>
      </c>
    </row>
    <row r="59">
      <c r="A59" t="n">
        <v>57</v>
      </c>
      <c r="B59" t="n">
        <v>-11</v>
      </c>
    </row>
    <row r="60">
      <c r="A60" t="n">
        <v>58</v>
      </c>
      <c r="B60" t="n">
        <v>-11</v>
      </c>
    </row>
    <row r="61">
      <c r="A61" t="n">
        <v>59</v>
      </c>
      <c r="B61" t="n">
        <v>-11</v>
      </c>
    </row>
    <row r="62">
      <c r="A62" t="n">
        <v>60</v>
      </c>
      <c r="B62" t="n">
        <v>-12</v>
      </c>
    </row>
    <row r="63">
      <c r="A63" t="n">
        <v>61</v>
      </c>
      <c r="B63" t="n">
        <v>-12</v>
      </c>
    </row>
    <row r="64">
      <c r="A64" t="n">
        <v>62</v>
      </c>
      <c r="B64" t="n">
        <v>-12</v>
      </c>
    </row>
    <row r="65">
      <c r="A65" t="n">
        <v>63</v>
      </c>
      <c r="B65" t="n">
        <v>-12</v>
      </c>
    </row>
    <row r="66">
      <c r="A66" t="n">
        <v>64</v>
      </c>
      <c r="B66" t="n">
        <v>-12</v>
      </c>
    </row>
    <row r="67">
      <c r="A67" t="n">
        <v>65</v>
      </c>
      <c r="B67" t="n">
        <v>-13</v>
      </c>
    </row>
    <row r="68">
      <c r="A68" t="n">
        <v>66</v>
      </c>
      <c r="B68" t="n">
        <v>-13</v>
      </c>
    </row>
    <row r="69">
      <c r="A69" t="n">
        <v>67</v>
      </c>
      <c r="B69" t="n">
        <v>-13</v>
      </c>
    </row>
    <row r="70">
      <c r="A70" t="n">
        <v>68</v>
      </c>
      <c r="B70" t="n">
        <v>-13</v>
      </c>
    </row>
    <row r="71">
      <c r="A71" t="n">
        <v>69</v>
      </c>
      <c r="B71" t="n">
        <v>-13</v>
      </c>
    </row>
    <row r="72">
      <c r="A72" t="n">
        <v>70</v>
      </c>
      <c r="B72" t="n">
        <v>-14</v>
      </c>
    </row>
    <row r="73">
      <c r="A73" t="n">
        <v>71</v>
      </c>
      <c r="B73" t="n">
        <v>-14</v>
      </c>
    </row>
    <row r="74">
      <c r="A74" t="n">
        <v>72</v>
      </c>
      <c r="B74" t="n">
        <v>-14</v>
      </c>
    </row>
    <row r="75">
      <c r="A75" t="n">
        <v>73</v>
      </c>
      <c r="B75" t="n">
        <v>-14</v>
      </c>
    </row>
    <row r="76">
      <c r="A76" t="n">
        <v>74</v>
      </c>
      <c r="B76" t="n">
        <v>-14</v>
      </c>
    </row>
    <row r="77">
      <c r="A77" t="n">
        <v>75</v>
      </c>
      <c r="B77" t="n">
        <v>-15</v>
      </c>
    </row>
    <row r="78">
      <c r="A78" t="n">
        <v>76</v>
      </c>
      <c r="B78" t="n">
        <v>-15</v>
      </c>
    </row>
    <row r="79">
      <c r="A79" t="n">
        <v>77</v>
      </c>
      <c r="B79" t="n">
        <v>-15</v>
      </c>
    </row>
    <row r="80">
      <c r="A80" t="n">
        <v>78</v>
      </c>
      <c r="B80" t="n">
        <v>-15</v>
      </c>
    </row>
    <row r="81">
      <c r="A81" t="n">
        <v>79</v>
      </c>
      <c r="B81" t="n">
        <v>-15</v>
      </c>
    </row>
    <row r="82">
      <c r="A82" t="n">
        <v>80</v>
      </c>
      <c r="B82" t="n">
        <v>-15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8" customWidth="1" min="3" max="3"/>
    <col width="10" customWidth="1" min="4" max="4"/>
    <col width="14" customWidth="1" min="5" max="5"/>
    <col width="14" customWidth="1" min="6" max="6"/>
    <col width="12" customWidth="1" min="7" max="7"/>
    <col width="14" customWidth="1" min="8" max="8"/>
    <col width="16" customWidth="1" min="9" max="9"/>
    <col width="12" customWidth="1" min="10" max="10"/>
    <col width="26" customWidth="1" min="11" max="11"/>
  </cols>
  <sheetData>
    <row r="1">
      <c r="A1" s="1" t="inlineStr">
        <is>
          <t>MCMI-III COMPLETE SCORING RESULTS</t>
        </is>
      </c>
    </row>
    <row r="2">
      <c r="A2" s="2" t="inlineStr">
        <is>
          <t>Enter Initial BR Scores from Appendix C (or use BR_Lookup sheet). All adjustments auto-calculated.</t>
        </is>
      </c>
    </row>
    <row r="4">
      <c r="A4" s="9" t="inlineStr">
        <is>
          <t>VALIDITY CHECKS</t>
        </is>
      </c>
    </row>
    <row r="5">
      <c r="A5" t="inlineStr">
        <is>
          <t>V (Invalidity) Score:</t>
        </is>
      </c>
      <c r="B5">
        <f>Raw_Scores!F32</f>
        <v/>
      </c>
      <c r="C5">
        <f>IF(B5&gt;1,"INVALID - V &gt; 1","VALID")</f>
        <v/>
      </c>
    </row>
    <row r="6">
      <c r="A6" t="inlineStr">
        <is>
          <t>Scale X Raw Score:</t>
        </is>
      </c>
      <c r="B6">
        <f>Raw_Scores!F5</f>
        <v/>
      </c>
      <c r="C6">
        <f>IF(OR(B6&lt;34,B6&gt;178),"INVALID - X out of range","VALID")</f>
        <v/>
      </c>
    </row>
    <row r="7">
      <c r="A7" t="inlineStr">
        <is>
          <t>Protocol Status:</t>
        </is>
      </c>
      <c r="B7" s="10">
        <f>IF(OR(B5&gt;1,B6&lt;34,B6&gt;178),"INVALID","VALID - Proceed")</f>
        <v/>
      </c>
    </row>
    <row r="9">
      <c r="A9" s="11" t="inlineStr">
        <is>
          <t>Scale
Code</t>
        </is>
      </c>
      <c r="B9" s="11" t="inlineStr">
        <is>
          <t>Scale Name</t>
        </is>
      </c>
      <c r="C9" s="11" t="inlineStr">
        <is>
          <t>Category</t>
        </is>
      </c>
      <c r="D9" s="11" t="inlineStr">
        <is>
          <t>RAW
SCORE</t>
        </is>
      </c>
      <c r="E9" s="11" t="inlineStr">
        <is>
          <t>Initial BR
(Enter from
Appendix C)</t>
        </is>
      </c>
      <c r="F9" s="11" t="inlineStr">
        <is>
          <t>Disclosure
Adjustment</t>
        </is>
      </c>
      <c r="G9" s="11" t="inlineStr">
        <is>
          <t>A/D
Adjustment</t>
        </is>
      </c>
      <c r="H9" s="11" t="inlineStr">
        <is>
          <t>Inpatient
Adjustment</t>
        </is>
      </c>
      <c r="I9" s="11" t="inlineStr">
        <is>
          <t>Denial/Complaint
Adj. (manual)</t>
        </is>
      </c>
      <c r="J9" s="11" t="inlineStr">
        <is>
          <t>FINAL
BR SCORE</t>
        </is>
      </c>
      <c r="K9" s="11" t="inlineStr">
        <is>
          <t>Clinical
Significance</t>
        </is>
      </c>
    </row>
    <row r="10">
      <c r="A10" s="12" t="inlineStr">
        <is>
          <t>X</t>
        </is>
      </c>
      <c r="B10" s="13" t="inlineStr">
        <is>
          <t>Disclosure</t>
        </is>
      </c>
      <c r="C10" s="13" t="inlineStr">
        <is>
          <t>Modifying Indices</t>
        </is>
      </c>
      <c r="D10" s="14">
        <f>Raw_Scores!F5</f>
        <v/>
      </c>
      <c r="E10" s="15" t="n"/>
      <c r="F10" s="13" t="inlineStr">
        <is>
          <t>N/A</t>
        </is>
      </c>
      <c r="G10" s="13" t="inlineStr">
        <is>
          <t>N/A</t>
        </is>
      </c>
      <c r="H10" s="13" t="n">
        <v>0</v>
      </c>
      <c r="I10" s="13" t="n">
        <v>0</v>
      </c>
      <c r="J10" s="16">
        <f>IF(E10="","",MIN(MAX(E10,0),115))</f>
        <v/>
      </c>
      <c r="K10" s="13">
        <f>IF(J10="","",IF(J10&gt;=85,"PROMINENT/PATHOLOGICAL",IF(J10&gt;=75,"PRESENT/TRAIT LEVEL",IF(J10&gt;=60,"Suggestive","Normal/Not Significant"))))</f>
        <v/>
      </c>
    </row>
    <row r="11">
      <c r="A11" s="12" t="inlineStr">
        <is>
          <t>Y</t>
        </is>
      </c>
      <c r="B11" s="13" t="inlineStr">
        <is>
          <t>Desirability</t>
        </is>
      </c>
      <c r="C11" s="13" t="inlineStr">
        <is>
          <t>Modifying Indices</t>
        </is>
      </c>
      <c r="D11" s="14">
        <f>Raw_Scores!F6</f>
        <v/>
      </c>
      <c r="E11" s="15" t="n"/>
      <c r="F11" s="13" t="inlineStr">
        <is>
          <t>N/A</t>
        </is>
      </c>
      <c r="G11" s="13" t="inlineStr">
        <is>
          <t>N/A</t>
        </is>
      </c>
      <c r="H11" s="13" t="n">
        <v>0</v>
      </c>
      <c r="I11" s="13" t="n">
        <v>0</v>
      </c>
      <c r="J11" s="16">
        <f>IF(E11="","",MIN(MAX(E11,0),115))</f>
        <v/>
      </c>
      <c r="K11" s="13">
        <f>IF(J11="","",IF(J11&gt;=85,"PROMINENT/PATHOLOGICAL",IF(J11&gt;=75,"PRESENT/TRAIT LEVEL",IF(J11&gt;=60,"Suggestive","Normal/Not Significant"))))</f>
        <v/>
      </c>
    </row>
    <row r="12">
      <c r="A12" s="12" t="inlineStr">
        <is>
          <t>Z</t>
        </is>
      </c>
      <c r="B12" s="13" t="inlineStr">
        <is>
          <t>Debasement</t>
        </is>
      </c>
      <c r="C12" s="13" t="inlineStr">
        <is>
          <t>Modifying Indices</t>
        </is>
      </c>
      <c r="D12" s="14">
        <f>Raw_Scores!F7</f>
        <v/>
      </c>
      <c r="E12" s="15" t="n"/>
      <c r="F12" s="13" t="inlineStr">
        <is>
          <t>N/A</t>
        </is>
      </c>
      <c r="G12" s="13" t="inlineStr">
        <is>
          <t>N/A</t>
        </is>
      </c>
      <c r="H12" s="13" t="n">
        <v>0</v>
      </c>
      <c r="I12" s="13" t="n">
        <v>0</v>
      </c>
      <c r="J12" s="16">
        <f>IF(E12="","",MIN(MAX(E12,0),115))</f>
        <v/>
      </c>
      <c r="K12" s="13">
        <f>IF(J12="","",IF(J12&gt;=85,"PROMINENT/PATHOLOGICAL",IF(J12&gt;=75,"PRESENT/TRAIT LEVEL",IF(J12&gt;=60,"Suggestive","Normal/Not Significant"))))</f>
        <v/>
      </c>
    </row>
    <row r="13">
      <c r="A13" s="12" t="inlineStr">
        <is>
          <t>1</t>
        </is>
      </c>
      <c r="B13" s="13" t="inlineStr">
        <is>
          <t>Schizoid</t>
        </is>
      </c>
      <c r="C13" s="13" t="inlineStr">
        <is>
          <t>Clinical Personality Patterns</t>
        </is>
      </c>
      <c r="D13" s="14">
        <f>Raw_Scores!F8</f>
        <v/>
      </c>
      <c r="E13" s="15" t="n"/>
      <c r="F13" s="13">
        <f>IF(D10="","",VLOOKUP(MIN(MAX(D10,0),199),Disclosure_Table!A:B,2,TRUE))</f>
        <v/>
      </c>
      <c r="G13" s="13" t="inlineStr">
        <is>
          <t>N/A</t>
        </is>
      </c>
      <c r="H13" s="13" t="n">
        <v>0</v>
      </c>
      <c r="I13" s="5" t="n">
        <v>0</v>
      </c>
      <c r="J13" s="16">
        <f>IF(E13="","",MIN(MAX(E13+IF(ISNUMBER(F13),F13,0)+IF(ISNUMBER(G13),G13,0)+IF(ISNUMBER(H13),H13,0)+IF(ISNUMBER(I13),I13,0),0),115))</f>
        <v/>
      </c>
      <c r="K13" s="13">
        <f>IF(J13="","",IF(J13&gt;=85,"PROMINENT/PATHOLOGICAL",IF(J13&gt;=75,"PRESENT/TRAIT LEVEL",IF(J13&gt;=60,"Suggestive","Normal/Not Significant"))))</f>
        <v/>
      </c>
    </row>
    <row r="14">
      <c r="A14" s="12" t="inlineStr">
        <is>
          <t>2A</t>
        </is>
      </c>
      <c r="B14" s="13" t="inlineStr">
        <is>
          <t>Avoidant</t>
        </is>
      </c>
      <c r="C14" s="13" t="inlineStr">
        <is>
          <t>Clinical Personality Patterns</t>
        </is>
      </c>
      <c r="D14" s="14">
        <f>Raw_Scores!F9</f>
        <v/>
      </c>
      <c r="E14" s="15" t="n"/>
      <c r="F14" s="13">
        <f>IF(D10="","",VLOOKUP(MIN(MAX(D10,0),199),Disclosure_Table!A:B,2,TRUE))</f>
        <v/>
      </c>
      <c r="G14" s="13">
        <f>IF(OR(E27="",E30=""),"",IF(AND((E27+IF(ISNUMBER(F27),F27,0))&lt;75,(E30+IF(ISNUMBER(F30),F30,0))&lt;75),0,IF(AND((E27+IF(ISNUMBER(F27),F27,0))&gt;=75,(E30+IF(ISNUMBER(F30),F30,0))&lt;75),VLOOKUP((E27+IF(ISNUMBER(F27),F27,0))-75,AD_2AS!A:B,2,TRUE),IF(AND((E30+IF(ISNUMBER(F30),F30,0))&gt;=75,(E27+IF(ISNUMBER(F27),F27,0))&lt;75),VLOOKUP((E30+IF(ISNUMBER(F30),F30,0))-75,AD_2AS!A:B,2,TRUE),VLOOKUP(MIN(((E27+IF(ISNUMBER(F27),F27,0))-75)+((E30+IF(ISNUMBER(F30),F30,0))-75),80),AD_2AS!A:B,2,TRUE)))))</f>
        <v/>
      </c>
      <c r="H14" s="13" t="n">
        <v>0</v>
      </c>
      <c r="I14" s="5" t="n">
        <v>0</v>
      </c>
      <c r="J14" s="16">
        <f>IF(E14="","",MIN(MAX(E14+IF(ISNUMBER(F14),F14,0)+IF(ISNUMBER(G14),G14,0)+IF(ISNUMBER(H14),H14,0)+IF(ISNUMBER(I14),I14,0),0),115))</f>
        <v/>
      </c>
      <c r="K14" s="13">
        <f>IF(J14="","",IF(J14&gt;=85,"PROMINENT/PATHOLOGICAL",IF(J14&gt;=75,"PRESENT/TRAIT LEVEL",IF(J14&gt;=60,"Suggestive","Normal/Not Significant"))))</f>
        <v/>
      </c>
    </row>
    <row r="15">
      <c r="A15" s="12" t="inlineStr">
        <is>
          <t>2B</t>
        </is>
      </c>
      <c r="B15" s="13" t="inlineStr">
        <is>
          <t>Depressive</t>
        </is>
      </c>
      <c r="C15" s="13" t="inlineStr">
        <is>
          <t>Clinical Personality Patterns</t>
        </is>
      </c>
      <c r="D15" s="14">
        <f>Raw_Scores!F10</f>
        <v/>
      </c>
      <c r="E15" s="15" t="n"/>
      <c r="F15" s="13">
        <f>IF(D10="","",VLOOKUP(MIN(MAX(D10,0),199),Disclosure_Table!A:B,2,TRUE))</f>
        <v/>
      </c>
      <c r="G15" s="13">
        <f>IF(OR(E27="",E30=""),"",IF(AND((E27+IF(ISNUMBER(F27),F27,0))&lt;75,(E30+IF(ISNUMBER(F30),F30,0))&lt;75),0,IF(AND((E27+IF(ISNUMBER(F27),F27,0))&gt;=75,(E30+IF(ISNUMBER(F30),F30,0))&lt;75),VLOOKUP((E27+IF(ISNUMBER(F27),F27,0))-75,AD_2B8BC!A:B,2,TRUE),IF(AND((E30+IF(ISNUMBER(F30),F30,0))&gt;=75,(E27+IF(ISNUMBER(F27),F27,0))&lt;75),VLOOKUP((E30+IF(ISNUMBER(F30),F30,0))-75,AD_2B8BC!A:B,2,TRUE),VLOOKUP(MIN(((E27+IF(ISNUMBER(F27),F27,0))-75)+((E30+IF(ISNUMBER(F30),F30,0))-75),80),AD_2B8BC!A:B,2,TRUE)))))</f>
        <v/>
      </c>
      <c r="H15" s="13" t="n">
        <v>0</v>
      </c>
      <c r="I15" s="5" t="n">
        <v>0</v>
      </c>
      <c r="J15" s="16">
        <f>IF(E15="","",MIN(MAX(E15+IF(ISNUMBER(F15),F15,0)+IF(ISNUMBER(G15),G15,0)+IF(ISNUMBER(H15),H15,0)+IF(ISNUMBER(I15),I15,0),0),115))</f>
        <v/>
      </c>
      <c r="K15" s="13">
        <f>IF(J15="","",IF(J15&gt;=85,"PROMINENT/PATHOLOGICAL",IF(J15&gt;=75,"PRESENT/TRAIT LEVEL",IF(J15&gt;=60,"Suggestive","Normal/Not Significant"))))</f>
        <v/>
      </c>
    </row>
    <row r="16">
      <c r="A16" s="12" t="inlineStr">
        <is>
          <t>3</t>
        </is>
      </c>
      <c r="B16" s="13" t="inlineStr">
        <is>
          <t>Dependent</t>
        </is>
      </c>
      <c r="C16" s="13" t="inlineStr">
        <is>
          <t>Clinical Personality Patterns</t>
        </is>
      </c>
      <c r="D16" s="14">
        <f>Raw_Scores!F11</f>
        <v/>
      </c>
      <c r="E16" s="15" t="n"/>
      <c r="F16" s="13">
        <f>IF(D10="","",VLOOKUP(MIN(MAX(D10,0),199),Disclosure_Table!A:B,2,TRUE))</f>
        <v/>
      </c>
      <c r="G16" s="13" t="inlineStr">
        <is>
          <t>N/A</t>
        </is>
      </c>
      <c r="H16" s="13" t="n">
        <v>0</v>
      </c>
      <c r="I16" s="5" t="n">
        <v>0</v>
      </c>
      <c r="J16" s="16">
        <f>IF(E16="","",MIN(MAX(E16+IF(ISNUMBER(F16),F16,0)+IF(ISNUMBER(G16),G16,0)+IF(ISNUMBER(H16),H16,0)+IF(ISNUMBER(I16),I16,0),0),115))</f>
        <v/>
      </c>
      <c r="K16" s="13">
        <f>IF(J16="","",IF(J16&gt;=85,"PROMINENT/PATHOLOGICAL",IF(J16&gt;=75,"PRESENT/TRAIT LEVEL",IF(J16&gt;=60,"Suggestive","Normal/Not Significant"))))</f>
        <v/>
      </c>
    </row>
    <row r="17">
      <c r="A17" s="12" t="inlineStr">
        <is>
          <t>4</t>
        </is>
      </c>
      <c r="B17" s="13" t="inlineStr">
        <is>
          <t>Histrionic</t>
        </is>
      </c>
      <c r="C17" s="13" t="inlineStr">
        <is>
          <t>Clinical Personality Patterns</t>
        </is>
      </c>
      <c r="D17" s="14">
        <f>Raw_Scores!F12</f>
        <v/>
      </c>
      <c r="E17" s="15" t="n"/>
      <c r="F17" s="13">
        <f>IF(D10="","",VLOOKUP(MIN(MAX(D10,0),199),Disclosure_Table!A:B,2,TRUE))</f>
        <v/>
      </c>
      <c r="G17" s="13" t="inlineStr">
        <is>
          <t>N/A</t>
        </is>
      </c>
      <c r="H17" s="13" t="n">
        <v>0</v>
      </c>
      <c r="I17" s="5" t="n">
        <v>0</v>
      </c>
      <c r="J17" s="16">
        <f>IF(E17="","",MIN(MAX(E17+IF(ISNUMBER(F17),F17,0)+IF(ISNUMBER(G17),G17,0)+IF(ISNUMBER(H17),H17,0)+IF(ISNUMBER(I17),I17,0),0),115))</f>
        <v/>
      </c>
      <c r="K17" s="13">
        <f>IF(J17="","",IF(J17&gt;=85,"PROMINENT/PATHOLOGICAL",IF(J17&gt;=75,"PRESENT/TRAIT LEVEL",IF(J17&gt;=60,"Suggestive","Normal/Not Significant"))))</f>
        <v/>
      </c>
    </row>
    <row r="18">
      <c r="A18" s="12" t="inlineStr">
        <is>
          <t>5</t>
        </is>
      </c>
      <c r="B18" s="13" t="inlineStr">
        <is>
          <t>Narcissistic</t>
        </is>
      </c>
      <c r="C18" s="13" t="inlineStr">
        <is>
          <t>Clinical Personality Patterns</t>
        </is>
      </c>
      <c r="D18" s="14">
        <f>Raw_Scores!F13</f>
        <v/>
      </c>
      <c r="E18" s="15" t="n"/>
      <c r="F18" s="13">
        <f>IF(D10="","",VLOOKUP(MIN(MAX(D10,0),199),Disclosure_Table!A:B,2,TRUE))</f>
        <v/>
      </c>
      <c r="G18" s="13" t="inlineStr">
        <is>
          <t>N/A</t>
        </is>
      </c>
      <c r="H18" s="13" t="n">
        <v>0</v>
      </c>
      <c r="I18" s="5" t="n">
        <v>0</v>
      </c>
      <c r="J18" s="16">
        <f>IF(E18="","",MIN(MAX(E18+IF(ISNUMBER(F18),F18,0)+IF(ISNUMBER(G18),G18,0)+IF(ISNUMBER(H18),H18,0)+IF(ISNUMBER(I18),I18,0),0),115))</f>
        <v/>
      </c>
      <c r="K18" s="13">
        <f>IF(J18="","",IF(J18&gt;=85,"PROMINENT/PATHOLOGICAL",IF(J18&gt;=75,"PRESENT/TRAIT LEVEL",IF(J18&gt;=60,"Suggestive","Normal/Not Significant"))))</f>
        <v/>
      </c>
    </row>
    <row r="19">
      <c r="A19" s="12" t="inlineStr">
        <is>
          <t>6A</t>
        </is>
      </c>
      <c r="B19" s="13" t="inlineStr">
        <is>
          <t>Antisocial</t>
        </is>
      </c>
      <c r="C19" s="13" t="inlineStr">
        <is>
          <t>Clinical Personality Patterns</t>
        </is>
      </c>
      <c r="D19" s="14">
        <f>Raw_Scores!F14</f>
        <v/>
      </c>
      <c r="E19" s="15" t="n"/>
      <c r="F19" s="13">
        <f>IF(D10="","",VLOOKUP(MIN(MAX(D10,0),199),Disclosure_Table!A:B,2,TRUE))</f>
        <v/>
      </c>
      <c r="G19" s="13" t="inlineStr">
        <is>
          <t>N/A</t>
        </is>
      </c>
      <c r="H19" s="13" t="n">
        <v>0</v>
      </c>
      <c r="I19" s="5" t="n">
        <v>0</v>
      </c>
      <c r="J19" s="16">
        <f>IF(E19="","",MIN(MAX(E19+IF(ISNUMBER(F19),F19,0)+IF(ISNUMBER(G19),G19,0)+IF(ISNUMBER(H19),H19,0)+IF(ISNUMBER(I19),I19,0),0),115))</f>
        <v/>
      </c>
      <c r="K19" s="13">
        <f>IF(J19="","",IF(J19&gt;=85,"PROMINENT/PATHOLOGICAL",IF(J19&gt;=75,"PRESENT/TRAIT LEVEL",IF(J19&gt;=60,"Suggestive","Normal/Not Significant"))))</f>
        <v/>
      </c>
    </row>
    <row r="20">
      <c r="A20" s="12" t="inlineStr">
        <is>
          <t>6B</t>
        </is>
      </c>
      <c r="B20" s="13" t="inlineStr">
        <is>
          <t>Sadistic (Aggressive)</t>
        </is>
      </c>
      <c r="C20" s="13" t="inlineStr">
        <is>
          <t>Clinical Personality Patterns</t>
        </is>
      </c>
      <c r="D20" s="14">
        <f>Raw_Scores!F15</f>
        <v/>
      </c>
      <c r="E20" s="15" t="n"/>
      <c r="F20" s="13">
        <f>IF(D10="","",VLOOKUP(MIN(MAX(D10,0),199),Disclosure_Table!A:B,2,TRUE))</f>
        <v/>
      </c>
      <c r="G20" s="13" t="inlineStr">
        <is>
          <t>N/A</t>
        </is>
      </c>
      <c r="H20" s="13" t="n">
        <v>0</v>
      </c>
      <c r="I20" s="5" t="n">
        <v>0</v>
      </c>
      <c r="J20" s="16">
        <f>IF(E20="","",MIN(MAX(E20+IF(ISNUMBER(F20),F20,0)+IF(ISNUMBER(G20),G20,0)+IF(ISNUMBER(H20),H20,0)+IF(ISNUMBER(I20),I20,0),0),115))</f>
        <v/>
      </c>
      <c r="K20" s="13">
        <f>IF(J20="","",IF(J20&gt;=85,"PROMINENT/PATHOLOGICAL",IF(J20&gt;=75,"PRESENT/TRAIT LEVEL",IF(J20&gt;=60,"Suggestive","Normal/Not Significant"))))</f>
        <v/>
      </c>
    </row>
    <row r="21">
      <c r="A21" s="12" t="inlineStr">
        <is>
          <t>7</t>
        </is>
      </c>
      <c r="B21" s="13" t="inlineStr">
        <is>
          <t>Compulsive</t>
        </is>
      </c>
      <c r="C21" s="13" t="inlineStr">
        <is>
          <t>Clinical Personality Patterns</t>
        </is>
      </c>
      <c r="D21" s="14">
        <f>Raw_Scores!F16</f>
        <v/>
      </c>
      <c r="E21" s="15" t="n"/>
      <c r="F21" s="13">
        <f>IF(D10="","",VLOOKUP(MIN(MAX(D10,0),199),Disclosure_Table!A:B,2,TRUE))</f>
        <v/>
      </c>
      <c r="G21" s="13" t="inlineStr">
        <is>
          <t>N/A</t>
        </is>
      </c>
      <c r="H21" s="13" t="n">
        <v>0</v>
      </c>
      <c r="I21" s="5" t="n">
        <v>0</v>
      </c>
      <c r="J21" s="16">
        <f>IF(E21="","",MIN(MAX(E21+IF(ISNUMBER(F21),F21,0)+IF(ISNUMBER(G21),G21,0)+IF(ISNUMBER(H21),H21,0)+IF(ISNUMBER(I21),I21,0),0),115))</f>
        <v/>
      </c>
      <c r="K21" s="13">
        <f>IF(J21="","",IF(J21&gt;=85,"PROMINENT/PATHOLOGICAL",IF(J21&gt;=75,"PRESENT/TRAIT LEVEL",IF(J21&gt;=60,"Suggestive","Normal/Not Significant"))))</f>
        <v/>
      </c>
    </row>
    <row r="22">
      <c r="A22" s="12" t="inlineStr">
        <is>
          <t>8A</t>
        </is>
      </c>
      <c r="B22" s="13" t="inlineStr">
        <is>
          <t>Negativistic (Passive-Aggressive)</t>
        </is>
      </c>
      <c r="C22" s="13" t="inlineStr">
        <is>
          <t>Clinical Personality Patterns</t>
        </is>
      </c>
      <c r="D22" s="14">
        <f>Raw_Scores!F17</f>
        <v/>
      </c>
      <c r="E22" s="15" t="n"/>
      <c r="F22" s="13">
        <f>IF(D10="","",VLOOKUP(MIN(MAX(D10,0),199),Disclosure_Table!A:B,2,TRUE))</f>
        <v/>
      </c>
      <c r="G22" s="13" t="inlineStr">
        <is>
          <t>N/A</t>
        </is>
      </c>
      <c r="H22" s="13" t="n">
        <v>0</v>
      </c>
      <c r="I22" s="5" t="n">
        <v>0</v>
      </c>
      <c r="J22" s="16">
        <f>IF(E22="","",MIN(MAX(E22+IF(ISNUMBER(F22),F22,0)+IF(ISNUMBER(G22),G22,0)+IF(ISNUMBER(H22),H22,0)+IF(ISNUMBER(I22),I22,0),0),115))</f>
        <v/>
      </c>
      <c r="K22" s="13">
        <f>IF(J22="","",IF(J22&gt;=85,"PROMINENT/PATHOLOGICAL",IF(J22&gt;=75,"PRESENT/TRAIT LEVEL",IF(J22&gt;=60,"Suggestive","Normal/Not Significant"))))</f>
        <v/>
      </c>
    </row>
    <row r="23">
      <c r="A23" s="12" t="inlineStr">
        <is>
          <t>8B</t>
        </is>
      </c>
      <c r="B23" s="13" t="inlineStr">
        <is>
          <t>Masochistic (Self-Defeating)</t>
        </is>
      </c>
      <c r="C23" s="13" t="inlineStr">
        <is>
          <t>Clinical Personality Patterns</t>
        </is>
      </c>
      <c r="D23" s="14">
        <f>Raw_Scores!F18</f>
        <v/>
      </c>
      <c r="E23" s="15" t="n"/>
      <c r="F23" s="13">
        <f>IF(D10="","",VLOOKUP(MIN(MAX(D10,0),199),Disclosure_Table!A:B,2,TRUE))</f>
        <v/>
      </c>
      <c r="G23" s="13">
        <f>IF(OR(E27="",E30=""),"",IF(AND((E27+IF(ISNUMBER(F27),F27,0))&lt;75,(E30+IF(ISNUMBER(F30),F30,0))&lt;75),0,IF(AND((E27+IF(ISNUMBER(F27),F27,0))&gt;=75,(E30+IF(ISNUMBER(F30),F30,0))&lt;75),VLOOKUP((E27+IF(ISNUMBER(F27),F27,0))-75,AD_2B8BC!A:B,2,TRUE),IF(AND((E30+IF(ISNUMBER(F30),F30,0))&gt;=75,(E27+IF(ISNUMBER(F27),F27,0))&lt;75),VLOOKUP((E30+IF(ISNUMBER(F30),F30,0))-75,AD_2B8BC!A:B,2,TRUE),VLOOKUP(MIN(((E27+IF(ISNUMBER(F27),F27,0))-75)+((E30+IF(ISNUMBER(F30),F30,0))-75),80),AD_2B8BC!A:B,2,TRUE)))))</f>
        <v/>
      </c>
      <c r="H23" s="13" t="n">
        <v>0</v>
      </c>
      <c r="I23" s="5" t="n">
        <v>0</v>
      </c>
      <c r="J23" s="16">
        <f>IF(E23="","",MIN(MAX(E23+IF(ISNUMBER(F23),F23,0)+IF(ISNUMBER(G23),G23,0)+IF(ISNUMBER(H23),H23,0)+IF(ISNUMBER(I23),I23,0),0),115))</f>
        <v/>
      </c>
      <c r="K23" s="13">
        <f>IF(J23="","",IF(J23&gt;=85,"PROMINENT/PATHOLOGICAL",IF(J23&gt;=75,"PRESENT/TRAIT LEVEL",IF(J23&gt;=60,"Suggestive","Normal/Not Significant"))))</f>
        <v/>
      </c>
    </row>
    <row r="24">
      <c r="A24" s="12" t="inlineStr">
        <is>
          <t>S</t>
        </is>
      </c>
      <c r="B24" s="13" t="inlineStr">
        <is>
          <t>Schizotypal</t>
        </is>
      </c>
      <c r="C24" s="13" t="inlineStr">
        <is>
          <t>Severe Personality Pathology</t>
        </is>
      </c>
      <c r="D24" s="14">
        <f>Raw_Scores!F19</f>
        <v/>
      </c>
      <c r="E24" s="15" t="n"/>
      <c r="F24" s="13">
        <f>IF(D10="","",VLOOKUP(MIN(MAX(D10,0),199),Disclosure_Table!A:C,3,TRUE))</f>
        <v/>
      </c>
      <c r="G24" s="13">
        <f>IF(OR(E27="",E30=""),"",IF(AND((E27+IF(ISNUMBER(F27),F27,0))&lt;75,(E30+IF(ISNUMBER(F30),F30,0))&lt;75),0,IF(AND((E27+IF(ISNUMBER(F27),F27,0))&gt;=75,(E30+IF(ISNUMBER(F30),F30,0))&lt;75),VLOOKUP((E27+IF(ISNUMBER(F27),F27,0))-75,AD_2AS!A:B,2,TRUE),IF(AND((E30+IF(ISNUMBER(F30),F30,0))&gt;=75,(E27+IF(ISNUMBER(F27),F27,0))&lt;75),VLOOKUP((E30+IF(ISNUMBER(F30),F30,0))-75,AD_2AS!A:B,2,TRUE),VLOOKUP(MIN(((E27+IF(ISNUMBER(F27),F27,0))-75)+((E30+IF(ISNUMBER(F30),F30,0))-75),80),AD_2AS!A:B,2,TRUE)))))</f>
        <v/>
      </c>
      <c r="H24" s="13" t="n">
        <v>0</v>
      </c>
      <c r="I24" s="5" t="n">
        <v>0</v>
      </c>
      <c r="J24" s="16">
        <f>IF(E24="","",MIN(MAX(E24+IF(ISNUMBER(F24),F24,0)+IF(ISNUMBER(G24),G24,0)+IF(ISNUMBER(H24),H24,0)+IF(ISNUMBER(I24),I24,0),0),115))</f>
        <v/>
      </c>
      <c r="K24" s="13">
        <f>IF(J24="","",IF(J24&gt;=85,"PROMINENT/PATHOLOGICAL",IF(J24&gt;=75,"PRESENT/TRAIT LEVEL",IF(J24&gt;=60,"Suggestive","Normal/Not Significant"))))</f>
        <v/>
      </c>
    </row>
    <row r="25">
      <c r="A25" s="12" t="inlineStr">
        <is>
          <t>C</t>
        </is>
      </c>
      <c r="B25" s="13" t="inlineStr">
        <is>
          <t>Borderline</t>
        </is>
      </c>
      <c r="C25" s="13" t="inlineStr">
        <is>
          <t>Severe Personality Pathology</t>
        </is>
      </c>
      <c r="D25" s="14">
        <f>Raw_Scores!F20</f>
        <v/>
      </c>
      <c r="E25" s="15" t="n"/>
      <c r="F25" s="13">
        <f>IF(D10="","",VLOOKUP(MIN(MAX(D10,0),199),Disclosure_Table!A:C,3,TRUE))</f>
        <v/>
      </c>
      <c r="G25" s="13">
        <f>IF(OR(E27="",E30=""),"",IF(AND((E27+IF(ISNUMBER(F27),F27,0))&lt;75,(E30+IF(ISNUMBER(F30),F30,0))&lt;75),0,IF(AND((E27+IF(ISNUMBER(F27),F27,0))&gt;=75,(E30+IF(ISNUMBER(F30),F30,0))&lt;75),VLOOKUP((E27+IF(ISNUMBER(F27),F27,0))-75,AD_2B8BC!A:B,2,TRUE),IF(AND((E30+IF(ISNUMBER(F30),F30,0))&gt;=75,(E27+IF(ISNUMBER(F27),F27,0))&lt;75),VLOOKUP((E30+IF(ISNUMBER(F30),F30,0))-75,AD_2B8BC!A:B,2,TRUE),VLOOKUP(MIN(((E27+IF(ISNUMBER(F27),F27,0))-75)+((E30+IF(ISNUMBER(F30),F30,0))-75),80),AD_2B8BC!A:B,2,TRUE)))))</f>
        <v/>
      </c>
      <c r="H25" s="13" t="n">
        <v>0</v>
      </c>
      <c r="I25" s="5" t="n">
        <v>0</v>
      </c>
      <c r="J25" s="16">
        <f>IF(E25="","",MIN(MAX(E25+IF(ISNUMBER(F25),F25,0)+IF(ISNUMBER(G25),G25,0)+IF(ISNUMBER(H25),H25,0)+IF(ISNUMBER(I25),I25,0),0),115))</f>
        <v/>
      </c>
      <c r="K25" s="13">
        <f>IF(J25="","",IF(J25&gt;=85,"PROMINENT/PATHOLOGICAL",IF(J25&gt;=75,"PRESENT/TRAIT LEVEL",IF(J25&gt;=60,"Suggestive","Normal/Not Significant"))))</f>
        <v/>
      </c>
    </row>
    <row r="26">
      <c r="A26" s="12" t="inlineStr">
        <is>
          <t>P</t>
        </is>
      </c>
      <c r="B26" s="13" t="inlineStr">
        <is>
          <t>Paranoid</t>
        </is>
      </c>
      <c r="C26" s="13" t="inlineStr">
        <is>
          <t>Severe Personality Pathology</t>
        </is>
      </c>
      <c r="D26" s="14">
        <f>Raw_Scores!F21</f>
        <v/>
      </c>
      <c r="E26" s="15" t="n"/>
      <c r="F26" s="13">
        <f>IF(D10="","",VLOOKUP(MIN(MAX(D10,0),199),Disclosure_Table!A:C,3,TRUE))</f>
        <v/>
      </c>
      <c r="G26" s="13" t="inlineStr">
        <is>
          <t>N/A</t>
        </is>
      </c>
      <c r="H26" s="13" t="n">
        <v>0</v>
      </c>
      <c r="I26" s="5" t="n">
        <v>0</v>
      </c>
      <c r="J26" s="16">
        <f>IF(E26="","",MIN(MAX(E26+IF(ISNUMBER(F26),F26,0)+IF(ISNUMBER(G26),G26,0)+IF(ISNUMBER(H26),H26,0)+IF(ISNUMBER(I26),I26,0),0),115))</f>
        <v/>
      </c>
      <c r="K26" s="13">
        <f>IF(J26="","",IF(J26&gt;=85,"PROMINENT/PATHOLOGICAL",IF(J26&gt;=75,"PRESENT/TRAIT LEVEL",IF(J26&gt;=60,"Suggestive","Normal/Not Significant"))))</f>
        <v/>
      </c>
    </row>
    <row r="27">
      <c r="A27" s="12" t="inlineStr">
        <is>
          <t>A</t>
        </is>
      </c>
      <c r="B27" s="13" t="inlineStr">
        <is>
          <t>Anxiety</t>
        </is>
      </c>
      <c r="C27" s="13" t="inlineStr">
        <is>
          <t>Clinical Syndromes</t>
        </is>
      </c>
      <c r="D27" s="14">
        <f>Raw_Scores!F22</f>
        <v/>
      </c>
      <c r="E27" s="15" t="n"/>
      <c r="F27" s="13">
        <f>IF(D10="","",VLOOKUP(MIN(MAX(D10,0),199),Disclosure_Table!A:C,3,TRUE))</f>
        <v/>
      </c>
      <c r="G27" s="13" t="inlineStr">
        <is>
          <t>N/A</t>
        </is>
      </c>
      <c r="H27" s="13" t="n">
        <v>0</v>
      </c>
      <c r="I27" s="5" t="n">
        <v>0</v>
      </c>
      <c r="J27" s="16">
        <f>IF(E27="","",MIN(MAX(E27+IF(ISNUMBER(F27),F27,0)+IF(ISNUMBER(G27),G27,0)+IF(ISNUMBER(H27),H27,0)+IF(ISNUMBER(I27),I27,0),0),115))</f>
        <v/>
      </c>
      <c r="K27" s="13">
        <f>IF(J27="","",IF(J27&gt;=85,"PROMINENT/PATHOLOGICAL",IF(J27&gt;=75,"PRESENT/TRAIT LEVEL",IF(J27&gt;=60,"Suggestive","Normal/Not Significant"))))</f>
        <v/>
      </c>
    </row>
    <row r="28">
      <c r="A28" s="12" t="inlineStr">
        <is>
          <t>H</t>
        </is>
      </c>
      <c r="B28" s="13" t="inlineStr">
        <is>
          <t>Somatoform</t>
        </is>
      </c>
      <c r="C28" s="13" t="inlineStr">
        <is>
          <t>Clinical Syndromes</t>
        </is>
      </c>
      <c r="D28" s="14">
        <f>Raw_Scores!F23</f>
        <v/>
      </c>
      <c r="E28" s="15" t="n"/>
      <c r="F28" s="13">
        <f>IF(D10="","",VLOOKUP(MIN(MAX(D10,0),199),Disclosure_Table!A:C,3,TRUE))</f>
        <v/>
      </c>
      <c r="G28" s="13" t="inlineStr">
        <is>
          <t>N/A</t>
        </is>
      </c>
      <c r="H28" s="13" t="n">
        <v>0</v>
      </c>
      <c r="I28" s="5" t="n">
        <v>0</v>
      </c>
      <c r="J28" s="16">
        <f>IF(E28="","",MIN(MAX(E28+IF(ISNUMBER(F28),F28,0)+IF(ISNUMBER(G28),G28,0)+IF(ISNUMBER(H28),H28,0)+IF(ISNUMBER(I28),I28,0),0),115))</f>
        <v/>
      </c>
      <c r="K28" s="13">
        <f>IF(J28="","",IF(J28&gt;=85,"PROMINENT/PATHOLOGICAL",IF(J28&gt;=75,"PRESENT/TRAIT LEVEL",IF(J28&gt;=60,"Suggestive","Normal/Not Significant"))))</f>
        <v/>
      </c>
    </row>
    <row r="29">
      <c r="A29" s="12" t="inlineStr">
        <is>
          <t>N</t>
        </is>
      </c>
      <c r="B29" s="13" t="inlineStr">
        <is>
          <t>Bipolar: Manic</t>
        </is>
      </c>
      <c r="C29" s="13" t="inlineStr">
        <is>
          <t>Clinical Syndromes</t>
        </is>
      </c>
      <c r="D29" s="14">
        <f>Raw_Scores!F24</f>
        <v/>
      </c>
      <c r="E29" s="15" t="n"/>
      <c r="F29" s="13">
        <f>IF(D10="","",VLOOKUP(MIN(MAX(D10,0),199),Disclosure_Table!A:C,3,TRUE))</f>
        <v/>
      </c>
      <c r="G29" s="13" t="inlineStr">
        <is>
          <t>N/A</t>
        </is>
      </c>
      <c r="H29" s="13" t="n">
        <v>0</v>
      </c>
      <c r="I29" s="5" t="n">
        <v>0</v>
      </c>
      <c r="J29" s="16">
        <f>IF(E29="","",MIN(MAX(E29+IF(ISNUMBER(F29),F29,0)+IF(ISNUMBER(G29),G29,0)+IF(ISNUMBER(H29),H29,0)+IF(ISNUMBER(I29),I29,0),0),115))</f>
        <v/>
      </c>
      <c r="K29" s="13">
        <f>IF(J29="","",IF(J29&gt;=85,"PROMINENT/PATHOLOGICAL",IF(J29&gt;=75,"PRESENT/TRAIT LEVEL",IF(J29&gt;=60,"Suggestive","Normal/Not Significant"))))</f>
        <v/>
      </c>
    </row>
    <row r="30">
      <c r="A30" s="12" t="inlineStr">
        <is>
          <t>D</t>
        </is>
      </c>
      <c r="B30" s="13" t="inlineStr">
        <is>
          <t>Dysthymia</t>
        </is>
      </c>
      <c r="C30" s="13" t="inlineStr">
        <is>
          <t>Clinical Syndromes</t>
        </is>
      </c>
      <c r="D30" s="14">
        <f>Raw_Scores!F25</f>
        <v/>
      </c>
      <c r="E30" s="15" t="n"/>
      <c r="F30" s="13">
        <f>IF(D10="","",VLOOKUP(MIN(MAX(D10,0),199),Disclosure_Table!A:C,3,TRUE))</f>
        <v/>
      </c>
      <c r="G30" s="13" t="inlineStr">
        <is>
          <t>N/A</t>
        </is>
      </c>
      <c r="H30" s="13" t="n">
        <v>0</v>
      </c>
      <c r="I30" s="5" t="n">
        <v>0</v>
      </c>
      <c r="J30" s="16">
        <f>IF(E30="","",MIN(MAX(E30+IF(ISNUMBER(F30),F30,0)+IF(ISNUMBER(G30),G30,0)+IF(ISNUMBER(H30),H30,0)+IF(ISNUMBER(I30),I30,0),0),115))</f>
        <v/>
      </c>
      <c r="K30" s="13">
        <f>IF(J30="","",IF(J30&gt;=85,"PROMINENT/PATHOLOGICAL",IF(J30&gt;=75,"PRESENT/TRAIT LEVEL",IF(J30&gt;=60,"Suggestive","Normal/Not Significant"))))</f>
        <v/>
      </c>
    </row>
    <row r="31">
      <c r="A31" s="12" t="inlineStr">
        <is>
          <t>B</t>
        </is>
      </c>
      <c r="B31" s="13" t="inlineStr">
        <is>
          <t>Alcohol Dependence</t>
        </is>
      </c>
      <c r="C31" s="13" t="inlineStr">
        <is>
          <t>Clinical Syndromes</t>
        </is>
      </c>
      <c r="D31" s="14">
        <f>Raw_Scores!F26</f>
        <v/>
      </c>
      <c r="E31" s="15" t="n"/>
      <c r="F31" s="13">
        <f>IF(D10="","",VLOOKUP(MIN(MAX(D10,0),199),Disclosure_Table!A:C,3,TRUE))</f>
        <v/>
      </c>
      <c r="G31" s="13" t="inlineStr">
        <is>
          <t>N/A</t>
        </is>
      </c>
      <c r="H31" s="13" t="n">
        <v>0</v>
      </c>
      <c r="I31" s="5" t="n">
        <v>0</v>
      </c>
      <c r="J31" s="16">
        <f>IF(E31="","",MIN(MAX(E31+IF(ISNUMBER(F31),F31,0)+IF(ISNUMBER(G31),G31,0)+IF(ISNUMBER(H31),H31,0)+IF(ISNUMBER(I31),I31,0),0),115))</f>
        <v/>
      </c>
      <c r="K31" s="13">
        <f>IF(J31="","",IF(J31&gt;=85,"PROMINENT/PATHOLOGICAL",IF(J31&gt;=75,"PRESENT/TRAIT LEVEL",IF(J31&gt;=60,"Suggestive","Normal/Not Significant"))))</f>
        <v/>
      </c>
    </row>
    <row r="32">
      <c r="A32" s="12" t="inlineStr">
        <is>
          <t>T</t>
        </is>
      </c>
      <c r="B32" s="13" t="inlineStr">
        <is>
          <t>Drug Dependence</t>
        </is>
      </c>
      <c r="C32" s="13" t="inlineStr">
        <is>
          <t>Clinical Syndromes</t>
        </is>
      </c>
      <c r="D32" s="14">
        <f>Raw_Scores!F27</f>
        <v/>
      </c>
      <c r="E32" s="15" t="n"/>
      <c r="F32" s="13">
        <f>IF(D10="","",VLOOKUP(MIN(MAX(D10,0),199),Disclosure_Table!A:C,3,TRUE))</f>
        <v/>
      </c>
      <c r="G32" s="13" t="inlineStr">
        <is>
          <t>N/A</t>
        </is>
      </c>
      <c r="H32" s="13" t="n">
        <v>0</v>
      </c>
      <c r="I32" s="5" t="n">
        <v>0</v>
      </c>
      <c r="J32" s="16">
        <f>IF(E32="","",MIN(MAX(E32+IF(ISNUMBER(F32),F32,0)+IF(ISNUMBER(G32),G32,0)+IF(ISNUMBER(H32),H32,0)+IF(ISNUMBER(I32),I32,0),0),115))</f>
        <v/>
      </c>
      <c r="K32" s="13">
        <f>IF(J32="","",IF(J32&gt;=85,"PROMINENT/PATHOLOGICAL",IF(J32&gt;=75,"PRESENT/TRAIT LEVEL",IF(J32&gt;=60,"Suggestive","Normal/Not Significant"))))</f>
        <v/>
      </c>
    </row>
    <row r="33">
      <c r="A33" s="12" t="inlineStr">
        <is>
          <t>R</t>
        </is>
      </c>
      <c r="B33" s="13" t="inlineStr">
        <is>
          <t>PTSD</t>
        </is>
      </c>
      <c r="C33" s="13" t="inlineStr">
        <is>
          <t>Clinical Syndromes</t>
        </is>
      </c>
      <c r="D33" s="14">
        <f>Raw_Scores!F28</f>
        <v/>
      </c>
      <c r="E33" s="15" t="n"/>
      <c r="F33" s="13">
        <f>IF(D10="","",VLOOKUP(MIN(MAX(D10,0),199),Disclosure_Table!A:C,3,TRUE))</f>
        <v/>
      </c>
      <c r="G33" s="13" t="inlineStr">
        <is>
          <t>N/A</t>
        </is>
      </c>
      <c r="H33" s="13" t="n">
        <v>0</v>
      </c>
      <c r="I33" s="5" t="n">
        <v>0</v>
      </c>
      <c r="J33" s="16">
        <f>IF(E33="","",MIN(MAX(E33+IF(ISNUMBER(F33),F33,0)+IF(ISNUMBER(G33),G33,0)+IF(ISNUMBER(H33),H33,0)+IF(ISNUMBER(I33),I33,0),0),115))</f>
        <v/>
      </c>
      <c r="K33" s="13">
        <f>IF(J33="","",IF(J33&gt;=85,"PROMINENT/PATHOLOGICAL",IF(J33&gt;=75,"PRESENT/TRAIT LEVEL",IF(J33&gt;=60,"Suggestive","Normal/Not Significant"))))</f>
        <v/>
      </c>
    </row>
    <row r="34">
      <c r="A34" s="12" t="inlineStr">
        <is>
          <t>SS</t>
        </is>
      </c>
      <c r="B34" s="13" t="inlineStr">
        <is>
          <t>Thought Disorder</t>
        </is>
      </c>
      <c r="C34" s="13" t="inlineStr">
        <is>
          <t>Severe Clinical Syndromes</t>
        </is>
      </c>
      <c r="D34" s="14">
        <f>Raw_Scores!F29</f>
        <v/>
      </c>
      <c r="E34" s="15" t="n"/>
      <c r="F34" s="13">
        <f>IF(D10="","",VLOOKUP(MIN(MAX(D10,0),199),Disclosure_Table!A:C,3,TRUE))</f>
        <v/>
      </c>
      <c r="G34" s="13" t="inlineStr">
        <is>
          <t>N/A</t>
        </is>
      </c>
      <c r="H34" s="13">
        <f>IF(Item_Responses!B6="Y",IF(Item_Responses!E6&lt;1,6,IF(Item_Responses!E6&lt;=4,4,0)),0)</f>
        <v/>
      </c>
      <c r="I34" s="5" t="n">
        <v>0</v>
      </c>
      <c r="J34" s="16">
        <f>IF(E34="","",MIN(MAX(E34+IF(ISNUMBER(F34),F34,0)+IF(ISNUMBER(G34),G34,0)+IF(ISNUMBER(H34),H34,0)+IF(ISNUMBER(I34),I34,0),0),115))</f>
        <v/>
      </c>
      <c r="K34" s="13">
        <f>IF(J34="","",IF(J34&gt;=85,"PROMINENT/PATHOLOGICAL",IF(J34&gt;=75,"PRESENT/TRAIT LEVEL",IF(J34&gt;=60,"Suggestive","Normal/Not Significant"))))</f>
        <v/>
      </c>
    </row>
    <row r="35">
      <c r="A35" s="12" t="inlineStr">
        <is>
          <t>CC</t>
        </is>
      </c>
      <c r="B35" s="13" t="inlineStr">
        <is>
          <t>Major Depression</t>
        </is>
      </c>
      <c r="C35" s="13" t="inlineStr">
        <is>
          <t>Severe Clinical Syndromes</t>
        </is>
      </c>
      <c r="D35" s="14">
        <f>Raw_Scores!F30</f>
        <v/>
      </c>
      <c r="E35" s="15" t="n"/>
      <c r="F35" s="13">
        <f>IF(D10="","",VLOOKUP(MIN(MAX(D10,0),199),Disclosure_Table!A:C,3,TRUE))</f>
        <v/>
      </c>
      <c r="G35" s="13" t="inlineStr">
        <is>
          <t>N/A</t>
        </is>
      </c>
      <c r="H35" s="13">
        <f>IF(Item_Responses!B6="Y",IF(Item_Responses!E6&lt;1,10,IF(Item_Responses!E6&lt;=4,8,0)),0)</f>
        <v/>
      </c>
      <c r="I35" s="5" t="n">
        <v>0</v>
      </c>
      <c r="J35" s="16">
        <f>IF(E35="","",MIN(MAX(E35+IF(ISNUMBER(F35),F35,0)+IF(ISNUMBER(G35),G35,0)+IF(ISNUMBER(H35),H35,0)+IF(ISNUMBER(I35),I35,0),0),115))</f>
        <v/>
      </c>
      <c r="K35" s="13">
        <f>IF(J35="","",IF(J35&gt;=85,"PROMINENT/PATHOLOGICAL",IF(J35&gt;=75,"PRESENT/TRAIT LEVEL",IF(J35&gt;=60,"Suggestive","Normal/Not Significant"))))</f>
        <v/>
      </c>
    </row>
    <row r="36">
      <c r="A36" s="12" t="inlineStr">
        <is>
          <t>PP</t>
        </is>
      </c>
      <c r="B36" s="13" t="inlineStr">
        <is>
          <t>Delusional Disorder</t>
        </is>
      </c>
      <c r="C36" s="13" t="inlineStr">
        <is>
          <t>Severe Clinical Syndromes</t>
        </is>
      </c>
      <c r="D36" s="14">
        <f>Raw_Scores!F31</f>
        <v/>
      </c>
      <c r="E36" s="15" t="n"/>
      <c r="F36" s="13">
        <f>IF(D10="","",VLOOKUP(MIN(MAX(D10,0),199),Disclosure_Table!A:C,3,TRUE))</f>
        <v/>
      </c>
      <c r="G36" s="13" t="inlineStr">
        <is>
          <t>N/A</t>
        </is>
      </c>
      <c r="H36" s="13">
        <f>IF(Item_Responses!B6="Y",IF(Item_Responses!E6&lt;1,4,IF(Item_Responses!E6&lt;=4,2,0)),0)</f>
        <v/>
      </c>
      <c r="I36" s="5" t="n">
        <v>0</v>
      </c>
      <c r="J36" s="16">
        <f>IF(E36="","",MIN(MAX(E36+IF(ISNUMBER(F36),F36,0)+IF(ISNUMBER(G36),G36,0)+IF(ISNUMBER(H36),H36,0)+IF(ISNUMBER(I36),I36,0),0),115))</f>
        <v/>
      </c>
      <c r="K36" s="13">
        <f>IF(J36="","",IF(J36&gt;=85,"PROMINENT/PATHOLOGICAL",IF(J36&gt;=75,"PRESENT/TRAIT LEVEL",IF(J36&gt;=60,"Suggestive","Normal/Not Significant"))))</f>
        <v/>
      </c>
    </row>
  </sheetData>
  <conditionalFormatting sqref="J10">
    <cfRule type="cellIs" priority="1" operator="greaterThanOrEqual" dxfId="0">
      <formula>85</formula>
    </cfRule>
    <cfRule type="cellIs" priority="2" operator="between" dxfId="1">
      <formula>75</formula>
      <formula>84</formula>
    </cfRule>
    <cfRule type="cellIs" priority="3" operator="lessThan" dxfId="2">
      <formula>60</formula>
    </cfRule>
  </conditionalFormatting>
  <conditionalFormatting sqref="J11">
    <cfRule type="cellIs" priority="4" operator="greaterThanOrEqual" dxfId="0">
      <formula>85</formula>
    </cfRule>
    <cfRule type="cellIs" priority="5" operator="between" dxfId="1">
      <formula>75</formula>
      <formula>84</formula>
    </cfRule>
    <cfRule type="cellIs" priority="6" operator="lessThan" dxfId="2">
      <formula>60</formula>
    </cfRule>
  </conditionalFormatting>
  <conditionalFormatting sqref="J12">
    <cfRule type="cellIs" priority="7" operator="greaterThanOrEqual" dxfId="0">
      <formula>85</formula>
    </cfRule>
    <cfRule type="cellIs" priority="8" operator="between" dxfId="1">
      <formula>75</formula>
      <formula>84</formula>
    </cfRule>
    <cfRule type="cellIs" priority="9" operator="lessThan" dxfId="2">
      <formula>60</formula>
    </cfRule>
  </conditionalFormatting>
  <conditionalFormatting sqref="J13">
    <cfRule type="cellIs" priority="10" operator="greaterThanOrEqual" dxfId="0">
      <formula>85</formula>
    </cfRule>
    <cfRule type="cellIs" priority="11" operator="between" dxfId="1">
      <formula>75</formula>
      <formula>84</formula>
    </cfRule>
    <cfRule type="cellIs" priority="12" operator="lessThan" dxfId="2">
      <formula>60</formula>
    </cfRule>
  </conditionalFormatting>
  <conditionalFormatting sqref="J14">
    <cfRule type="cellIs" priority="13" operator="greaterThanOrEqual" dxfId="0">
      <formula>85</formula>
    </cfRule>
    <cfRule type="cellIs" priority="14" operator="between" dxfId="1">
      <formula>75</formula>
      <formula>84</formula>
    </cfRule>
    <cfRule type="cellIs" priority="15" operator="lessThan" dxfId="2">
      <formula>60</formula>
    </cfRule>
  </conditionalFormatting>
  <conditionalFormatting sqref="J15">
    <cfRule type="cellIs" priority="16" operator="greaterThanOrEqual" dxfId="0">
      <formula>85</formula>
    </cfRule>
    <cfRule type="cellIs" priority="17" operator="between" dxfId="1">
      <formula>75</formula>
      <formula>84</formula>
    </cfRule>
    <cfRule type="cellIs" priority="18" operator="lessThan" dxfId="2">
      <formula>60</formula>
    </cfRule>
  </conditionalFormatting>
  <conditionalFormatting sqref="J16">
    <cfRule type="cellIs" priority="19" operator="greaterThanOrEqual" dxfId="0">
      <formula>85</formula>
    </cfRule>
    <cfRule type="cellIs" priority="20" operator="between" dxfId="1">
      <formula>75</formula>
      <formula>84</formula>
    </cfRule>
    <cfRule type="cellIs" priority="21" operator="lessThan" dxfId="2">
      <formula>60</formula>
    </cfRule>
  </conditionalFormatting>
  <conditionalFormatting sqref="J17">
    <cfRule type="cellIs" priority="22" operator="greaterThanOrEqual" dxfId="0">
      <formula>85</formula>
    </cfRule>
    <cfRule type="cellIs" priority="23" operator="between" dxfId="1">
      <formula>75</formula>
      <formula>84</formula>
    </cfRule>
    <cfRule type="cellIs" priority="24" operator="lessThan" dxfId="2">
      <formula>60</formula>
    </cfRule>
  </conditionalFormatting>
  <conditionalFormatting sqref="J18">
    <cfRule type="cellIs" priority="25" operator="greaterThanOrEqual" dxfId="0">
      <formula>85</formula>
    </cfRule>
    <cfRule type="cellIs" priority="26" operator="between" dxfId="1">
      <formula>75</formula>
      <formula>84</formula>
    </cfRule>
    <cfRule type="cellIs" priority="27" operator="lessThan" dxfId="2">
      <formula>60</formula>
    </cfRule>
  </conditionalFormatting>
  <conditionalFormatting sqref="J19">
    <cfRule type="cellIs" priority="28" operator="greaterThanOrEqual" dxfId="0">
      <formula>85</formula>
    </cfRule>
    <cfRule type="cellIs" priority="29" operator="between" dxfId="1">
      <formula>75</formula>
      <formula>84</formula>
    </cfRule>
    <cfRule type="cellIs" priority="30" operator="lessThan" dxfId="2">
      <formula>60</formula>
    </cfRule>
  </conditionalFormatting>
  <conditionalFormatting sqref="J20">
    <cfRule type="cellIs" priority="31" operator="greaterThanOrEqual" dxfId="0">
      <formula>85</formula>
    </cfRule>
    <cfRule type="cellIs" priority="32" operator="between" dxfId="1">
      <formula>75</formula>
      <formula>84</formula>
    </cfRule>
    <cfRule type="cellIs" priority="33" operator="lessThan" dxfId="2">
      <formula>60</formula>
    </cfRule>
  </conditionalFormatting>
  <conditionalFormatting sqref="J21">
    <cfRule type="cellIs" priority="34" operator="greaterThanOrEqual" dxfId="0">
      <formula>85</formula>
    </cfRule>
    <cfRule type="cellIs" priority="35" operator="between" dxfId="1">
      <formula>75</formula>
      <formula>84</formula>
    </cfRule>
    <cfRule type="cellIs" priority="36" operator="lessThan" dxfId="2">
      <formula>60</formula>
    </cfRule>
  </conditionalFormatting>
  <conditionalFormatting sqref="J22">
    <cfRule type="cellIs" priority="37" operator="greaterThanOrEqual" dxfId="0">
      <formula>85</formula>
    </cfRule>
    <cfRule type="cellIs" priority="38" operator="between" dxfId="1">
      <formula>75</formula>
      <formula>84</formula>
    </cfRule>
    <cfRule type="cellIs" priority="39" operator="lessThan" dxfId="2">
      <formula>60</formula>
    </cfRule>
  </conditionalFormatting>
  <conditionalFormatting sqref="J23">
    <cfRule type="cellIs" priority="40" operator="greaterThanOrEqual" dxfId="0">
      <formula>85</formula>
    </cfRule>
    <cfRule type="cellIs" priority="41" operator="between" dxfId="1">
      <formula>75</formula>
      <formula>84</formula>
    </cfRule>
    <cfRule type="cellIs" priority="42" operator="lessThan" dxfId="2">
      <formula>60</formula>
    </cfRule>
  </conditionalFormatting>
  <conditionalFormatting sqref="J24">
    <cfRule type="cellIs" priority="43" operator="greaterThanOrEqual" dxfId="0">
      <formula>85</formula>
    </cfRule>
    <cfRule type="cellIs" priority="44" operator="between" dxfId="1">
      <formula>75</formula>
      <formula>84</formula>
    </cfRule>
    <cfRule type="cellIs" priority="45" operator="lessThan" dxfId="2">
      <formula>60</formula>
    </cfRule>
  </conditionalFormatting>
  <conditionalFormatting sqref="J25">
    <cfRule type="cellIs" priority="46" operator="greaterThanOrEqual" dxfId="0">
      <formula>85</formula>
    </cfRule>
    <cfRule type="cellIs" priority="47" operator="between" dxfId="1">
      <formula>75</formula>
      <formula>84</formula>
    </cfRule>
    <cfRule type="cellIs" priority="48" operator="lessThan" dxfId="2">
      <formula>60</formula>
    </cfRule>
  </conditionalFormatting>
  <conditionalFormatting sqref="J26">
    <cfRule type="cellIs" priority="49" operator="greaterThanOrEqual" dxfId="0">
      <formula>85</formula>
    </cfRule>
    <cfRule type="cellIs" priority="50" operator="between" dxfId="1">
      <formula>75</formula>
      <formula>84</formula>
    </cfRule>
    <cfRule type="cellIs" priority="51" operator="lessThan" dxfId="2">
      <formula>60</formula>
    </cfRule>
  </conditionalFormatting>
  <conditionalFormatting sqref="J27">
    <cfRule type="cellIs" priority="52" operator="greaterThanOrEqual" dxfId="0">
      <formula>85</formula>
    </cfRule>
    <cfRule type="cellIs" priority="53" operator="between" dxfId="1">
      <formula>75</formula>
      <formula>84</formula>
    </cfRule>
    <cfRule type="cellIs" priority="54" operator="lessThan" dxfId="2">
      <formula>60</formula>
    </cfRule>
  </conditionalFormatting>
  <conditionalFormatting sqref="J28">
    <cfRule type="cellIs" priority="55" operator="greaterThanOrEqual" dxfId="0">
      <formula>85</formula>
    </cfRule>
    <cfRule type="cellIs" priority="56" operator="between" dxfId="1">
      <formula>75</formula>
      <formula>84</formula>
    </cfRule>
    <cfRule type="cellIs" priority="57" operator="lessThan" dxfId="2">
      <formula>60</formula>
    </cfRule>
  </conditionalFormatting>
  <conditionalFormatting sqref="J29">
    <cfRule type="cellIs" priority="58" operator="greaterThanOrEqual" dxfId="0">
      <formula>85</formula>
    </cfRule>
    <cfRule type="cellIs" priority="59" operator="between" dxfId="1">
      <formula>75</formula>
      <formula>84</formula>
    </cfRule>
    <cfRule type="cellIs" priority="60" operator="lessThan" dxfId="2">
      <formula>60</formula>
    </cfRule>
  </conditionalFormatting>
  <conditionalFormatting sqref="J30">
    <cfRule type="cellIs" priority="61" operator="greaterThanOrEqual" dxfId="0">
      <formula>85</formula>
    </cfRule>
    <cfRule type="cellIs" priority="62" operator="between" dxfId="1">
      <formula>75</formula>
      <formula>84</formula>
    </cfRule>
    <cfRule type="cellIs" priority="63" operator="lessThan" dxfId="2">
      <formula>60</formula>
    </cfRule>
  </conditionalFormatting>
  <conditionalFormatting sqref="J31">
    <cfRule type="cellIs" priority="64" operator="greaterThanOrEqual" dxfId="0">
      <formula>85</formula>
    </cfRule>
    <cfRule type="cellIs" priority="65" operator="between" dxfId="1">
      <formula>75</formula>
      <formula>84</formula>
    </cfRule>
    <cfRule type="cellIs" priority="66" operator="lessThan" dxfId="2">
      <formula>60</formula>
    </cfRule>
  </conditionalFormatting>
  <conditionalFormatting sqref="J32">
    <cfRule type="cellIs" priority="67" operator="greaterThanOrEqual" dxfId="0">
      <formula>85</formula>
    </cfRule>
    <cfRule type="cellIs" priority="68" operator="between" dxfId="1">
      <formula>75</formula>
      <formula>84</formula>
    </cfRule>
    <cfRule type="cellIs" priority="69" operator="lessThan" dxfId="2">
      <formula>60</formula>
    </cfRule>
  </conditionalFormatting>
  <conditionalFormatting sqref="J33">
    <cfRule type="cellIs" priority="70" operator="greaterThanOrEqual" dxfId="0">
      <formula>85</formula>
    </cfRule>
    <cfRule type="cellIs" priority="71" operator="between" dxfId="1">
      <formula>75</formula>
      <formula>84</formula>
    </cfRule>
    <cfRule type="cellIs" priority="72" operator="lessThan" dxfId="2">
      <formula>60</formula>
    </cfRule>
  </conditionalFormatting>
  <conditionalFormatting sqref="J34">
    <cfRule type="cellIs" priority="73" operator="greaterThanOrEqual" dxfId="0">
      <formula>85</formula>
    </cfRule>
    <cfRule type="cellIs" priority="74" operator="between" dxfId="1">
      <formula>75</formula>
      <formula>84</formula>
    </cfRule>
    <cfRule type="cellIs" priority="75" operator="lessThan" dxfId="2">
      <formula>60</formula>
    </cfRule>
  </conditionalFormatting>
  <conditionalFormatting sqref="J35">
    <cfRule type="cellIs" priority="76" operator="greaterThanOrEqual" dxfId="0">
      <formula>85</formula>
    </cfRule>
    <cfRule type="cellIs" priority="77" operator="between" dxfId="1">
      <formula>75</formula>
      <formula>84</formula>
    </cfRule>
    <cfRule type="cellIs" priority="78" operator="lessThan" dxfId="2">
      <formula>60</formula>
    </cfRule>
  </conditionalFormatting>
  <conditionalFormatting sqref="J36">
    <cfRule type="cellIs" priority="79" operator="greaterThanOrEqual" dxfId="0">
      <formula>85</formula>
    </cfRule>
    <cfRule type="cellIs" priority="80" operator="between" dxfId="1">
      <formula>75</formula>
      <formula>84</formula>
    </cfRule>
    <cfRule type="cellIs" priority="81" operator="lessThan" dxfId="2">
      <formula>60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32" customWidth="1" min="3" max="3"/>
    <col width="30" customWidth="1" min="4" max="4"/>
    <col width="12" customWidth="1" min="5" max="5"/>
    <col width="16" customWidth="1" min="6" max="6"/>
  </cols>
  <sheetData>
    <row r="1">
      <c r="A1" s="1" t="inlineStr">
        <is>
          <t>MCMI-III GROSSMAN FACET SCALE SCORES</t>
        </is>
      </c>
    </row>
    <row r="2">
      <c r="A2" s="2" t="inlineStr">
        <is>
          <t>Facet scores calculated automatically from item responses</t>
        </is>
      </c>
    </row>
    <row r="4">
      <c r="A4" s="17" t="inlineStr">
        <is>
          <t>Parent Scale</t>
        </is>
      </c>
      <c r="B4" s="17" t="inlineStr">
        <is>
          <t>Facet Code</t>
        </is>
      </c>
      <c r="C4" s="17" t="inlineStr">
        <is>
          <t>Facet Name</t>
        </is>
      </c>
      <c r="D4" s="17" t="inlineStr">
        <is>
          <t>Items</t>
        </is>
      </c>
      <c r="E4" s="17" t="inlineStr">
        <is>
          <t>Raw Score</t>
        </is>
      </c>
      <c r="F4" s="17" t="inlineStr">
        <is>
          <t>Interpretation</t>
        </is>
      </c>
    </row>
    <row r="5">
      <c r="A5" s="13" t="inlineStr">
        <is>
          <t>1 - Schizoid</t>
        </is>
      </c>
      <c r="B5" s="13" t="inlineStr">
        <is>
          <t>1A</t>
        </is>
      </c>
      <c r="C5" s="13" t="inlineStr">
        <is>
          <t>Expressively Impassive</t>
        </is>
      </c>
      <c r="D5" s="13" t="inlineStr">
        <is>
          <t>[1, 14, 40, 70, 112]</t>
        </is>
      </c>
      <c r="E5" s="18">
        <f>Item_Responses!B9+Item_Responses!B22+Item_Responses!B48+Item_Responses!E18+Item_Responses!E60</f>
        <v/>
      </c>
      <c r="F5" s="13">
        <f>IF(E5="","",IF(E5&gt;=5*0.7,"Elevated",IF(E5&gt;=5*0.4,"Moderate","Low")))</f>
        <v/>
      </c>
    </row>
    <row r="6">
      <c r="A6" s="13" t="inlineStr">
        <is>
          <t>1 - Schizoid</t>
        </is>
      </c>
      <c r="B6" s="13" t="inlineStr">
        <is>
          <t>1B</t>
        </is>
      </c>
      <c r="C6" s="13" t="inlineStr">
        <is>
          <t>Interpersonally Unengaged</t>
        </is>
      </c>
      <c r="D6" s="13" t="inlineStr">
        <is>
          <t>[25, 46, 81, 118, 136]</t>
        </is>
      </c>
      <c r="E6" s="18">
        <f>Item_Responses!B33+Item_Responses!B54+Item_Responses!E29+Item_Responses!E66+Item_Responses!H24</f>
        <v/>
      </c>
      <c r="F6" s="13">
        <f>IF(E6="","",IF(E6&gt;=5*0.7,"Elevated",IF(E6&gt;=5*0.4,"Moderate","Low")))</f>
        <v/>
      </c>
    </row>
    <row r="7">
      <c r="A7" s="13" t="inlineStr">
        <is>
          <t>1 - Schizoid</t>
        </is>
      </c>
      <c r="B7" s="13" t="inlineStr">
        <is>
          <t>1C</t>
        </is>
      </c>
      <c r="C7" s="13" t="inlineStr">
        <is>
          <t>Cognitively Impoverished</t>
        </is>
      </c>
      <c r="D7" s="13" t="inlineStr">
        <is>
          <t>[55, 86, 92, 124, 130]</t>
        </is>
      </c>
      <c r="E7" s="18">
        <f>Item_Responses!B63+Item_Responses!E34+Item_Responses!E40+Item_Responses!H12+Item_Responses!H18</f>
        <v/>
      </c>
      <c r="F7" s="13">
        <f>IF(E7="","",IF(E7&gt;=5*0.7,"Elevated",IF(E7&gt;=5*0.4,"Moderate","Low")))</f>
        <v/>
      </c>
    </row>
    <row r="8">
      <c r="A8" s="13" t="inlineStr">
        <is>
          <t>2A - Avoidant</t>
        </is>
      </c>
      <c r="B8" s="13" t="inlineStr">
        <is>
          <t>2A-A</t>
        </is>
      </c>
      <c r="C8" s="13" t="inlineStr">
        <is>
          <t>Expressively Fretful</t>
        </is>
      </c>
      <c r="D8" s="13" t="inlineStr">
        <is>
          <t>[1, 14, 40, 70, 112]</t>
        </is>
      </c>
      <c r="E8" s="18">
        <f>Item_Responses!B9+Item_Responses!B22+Item_Responses!B48+Item_Responses!E18+Item_Responses!E60</f>
        <v/>
      </c>
      <c r="F8" s="13">
        <f>IF(E8="","",IF(E8&gt;=5*0.7,"Elevated",IF(E8&gt;=5*0.4,"Moderate","Low")))</f>
        <v/>
      </c>
    </row>
    <row r="9">
      <c r="A9" s="13" t="inlineStr">
        <is>
          <t>2A - Avoidant</t>
        </is>
      </c>
      <c r="B9" s="13" t="inlineStr">
        <is>
          <t>2A-B</t>
        </is>
      </c>
      <c r="C9" s="13" t="inlineStr">
        <is>
          <t>Interpersonally Aversive</t>
        </is>
      </c>
      <c r="D9" s="13" t="inlineStr">
        <is>
          <t>[25, 46, 81, 118, 135]</t>
        </is>
      </c>
      <c r="E9" s="18">
        <f>Item_Responses!B33+Item_Responses!B54+Item_Responses!E29+Item_Responses!E66+Item_Responses!H23</f>
        <v/>
      </c>
      <c r="F9" s="13">
        <f>IF(E9="","",IF(E9&gt;=5*0.7,"Elevated",IF(E9&gt;=5*0.4,"Moderate","Low")))</f>
        <v/>
      </c>
    </row>
    <row r="10">
      <c r="A10" s="13" t="inlineStr">
        <is>
          <t>2A - Avoidant</t>
        </is>
      </c>
      <c r="B10" s="13" t="inlineStr">
        <is>
          <t>2A-C</t>
        </is>
      </c>
      <c r="C10" s="13" t="inlineStr">
        <is>
          <t>Cognitively Distracted</t>
        </is>
      </c>
      <c r="D10" s="13" t="inlineStr">
        <is>
          <t>[55, 86, 92, 124, 141]</t>
        </is>
      </c>
      <c r="E10" s="18">
        <f>Item_Responses!B63+Item_Responses!E34+Item_Responses!E40+Item_Responses!H12+Item_Responses!H29</f>
        <v/>
      </c>
      <c r="F10" s="13">
        <f>IF(E10="","",IF(E10&gt;=5*0.7,"Elevated",IF(E10&gt;=5*0.4,"Moderate","Low")))</f>
        <v/>
      </c>
    </row>
    <row r="11">
      <c r="A11" s="13" t="inlineStr">
        <is>
          <t>2B - Depressive</t>
        </is>
      </c>
      <c r="B11" s="13" t="inlineStr">
        <is>
          <t>2B-A</t>
        </is>
      </c>
      <c r="C11" s="13" t="inlineStr">
        <is>
          <t>Expressively Disconsolate</t>
        </is>
      </c>
      <c r="D11" s="13" t="inlineStr">
        <is>
          <t>[10, 24, 50, 75, 121]</t>
        </is>
      </c>
      <c r="E11" s="18">
        <f>Item_Responses!B18+Item_Responses!B32+Item_Responses!B58+Item_Responses!E23+Item_Responses!H9</f>
        <v/>
      </c>
      <c r="F11" s="13">
        <f>IF(E11="","",IF(E11&gt;=5*0.7,"Elevated",IF(E11&gt;=5*0.4,"Moderate","Low")))</f>
        <v/>
      </c>
    </row>
    <row r="12">
      <c r="A12" s="13" t="inlineStr">
        <is>
          <t>2B - Depressive</t>
        </is>
      </c>
      <c r="B12" s="13" t="inlineStr">
        <is>
          <t>2B-B</t>
        </is>
      </c>
      <c r="C12" s="13" t="inlineStr">
        <is>
          <t>Interpersonally Defenseless</t>
        </is>
      </c>
      <c r="D12" s="13" t="inlineStr">
        <is>
          <t>[31, 62, 99, 135, 160]</t>
        </is>
      </c>
      <c r="E12" s="18">
        <f>Item_Responses!B39+Item_Responses!E10+Item_Responses!E47+Item_Responses!H23+Item_Responses!H48</f>
        <v/>
      </c>
      <c r="F12" s="13">
        <f>IF(E12="","",IF(E12&gt;=5*0.7,"Elevated",IF(E12&gt;=5*0.4,"Moderate","Low")))</f>
        <v/>
      </c>
    </row>
    <row r="13">
      <c r="A13" s="13" t="inlineStr">
        <is>
          <t>2B - Depressive</t>
        </is>
      </c>
      <c r="B13" s="13" t="inlineStr">
        <is>
          <t>2B-C</t>
        </is>
      </c>
      <c r="C13" s="13" t="inlineStr">
        <is>
          <t>Cognitively Fatalistic</t>
        </is>
      </c>
      <c r="D13" s="13" t="inlineStr">
        <is>
          <t>[14, 55, 92, 130, 166]</t>
        </is>
      </c>
      <c r="E13" s="18">
        <f>Item_Responses!B22+Item_Responses!B63+Item_Responses!E40+Item_Responses!H18+Item_Responses!H54</f>
        <v/>
      </c>
      <c r="F13" s="13">
        <f>IF(E13="","",IF(E13&gt;=5*0.7,"Elevated",IF(E13&gt;=5*0.4,"Moderate","Low")))</f>
        <v/>
      </c>
    </row>
    <row r="14">
      <c r="A14" s="13" t="inlineStr">
        <is>
          <t>3 - Dependent</t>
        </is>
      </c>
      <c r="B14" s="13" t="inlineStr">
        <is>
          <t>3A</t>
        </is>
      </c>
      <c r="C14" s="13" t="inlineStr">
        <is>
          <t>Expressively Incompetent</t>
        </is>
      </c>
      <c r="D14" s="13" t="inlineStr">
        <is>
          <t>[4, 17, 34, 52, 74]</t>
        </is>
      </c>
      <c r="E14" s="18">
        <f>Item_Responses!B12+Item_Responses!B25+Item_Responses!B42+Item_Responses!B60+Item_Responses!E22</f>
        <v/>
      </c>
      <c r="F14" s="13">
        <f>IF(E14="","",IF(E14&gt;=5*0.7,"Elevated",IF(E14&gt;=5*0.4,"Moderate","Low")))</f>
        <v/>
      </c>
    </row>
    <row r="15">
      <c r="A15" s="13" t="inlineStr">
        <is>
          <t>3 - Dependent</t>
        </is>
      </c>
      <c r="B15" s="13" t="inlineStr">
        <is>
          <t>3B</t>
        </is>
      </c>
      <c r="C15" s="13" t="inlineStr">
        <is>
          <t>Interpersonally Submissive</t>
        </is>
      </c>
      <c r="D15" s="13" t="inlineStr">
        <is>
          <t>[10, 29, 58, 79, 103]</t>
        </is>
      </c>
      <c r="E15" s="18">
        <f>Item_Responses!B18+Item_Responses!B37+Item_Responses!B66+Item_Responses!E27+Item_Responses!E51</f>
        <v/>
      </c>
      <c r="F15" s="13">
        <f>IF(E15="","",IF(E15&gt;=5*0.7,"Elevated",IF(E15&gt;=5*0.4,"Moderate","Low")))</f>
        <v/>
      </c>
    </row>
    <row r="16">
      <c r="A16" s="13" t="inlineStr">
        <is>
          <t>3 - Dependent</t>
        </is>
      </c>
      <c r="B16" s="13" t="inlineStr">
        <is>
          <t>3C</t>
        </is>
      </c>
      <c r="C16" s="13" t="inlineStr">
        <is>
          <t>Cognitively Naive</t>
        </is>
      </c>
      <c r="D16" s="13" t="inlineStr">
        <is>
          <t>[24, 46, 66, 91, 115]</t>
        </is>
      </c>
      <c r="E16" s="18">
        <f>Item_Responses!B32+Item_Responses!B54+Item_Responses!E14+Item_Responses!E39+Item_Responses!E63</f>
        <v/>
      </c>
      <c r="F16" s="13">
        <f>IF(E16="","",IF(E16&gt;=5*0.7,"Elevated",IF(E16&gt;=5*0.4,"Moderate","Low")))</f>
        <v/>
      </c>
    </row>
    <row r="17">
      <c r="A17" s="13" t="inlineStr">
        <is>
          <t>4 - Histrionic</t>
        </is>
      </c>
      <c r="B17" s="13" t="inlineStr">
        <is>
          <t>4A</t>
        </is>
      </c>
      <c r="C17" s="13" t="inlineStr">
        <is>
          <t>Expressively Dramatic</t>
        </is>
      </c>
      <c r="D17" s="13" t="inlineStr">
        <is>
          <t>[2, 23, 48, 76, 108]</t>
        </is>
      </c>
      <c r="E17" s="18">
        <f>Item_Responses!B10+Item_Responses!B31+Item_Responses!B56+Item_Responses!E24+Item_Responses!E56</f>
        <v/>
      </c>
      <c r="F17" s="13">
        <f>IF(E17="","",IF(E17&gt;=5*0.7,"Elevated",IF(E17&gt;=5*0.4,"Moderate","Low")))</f>
        <v/>
      </c>
    </row>
    <row r="18">
      <c r="A18" s="13" t="inlineStr">
        <is>
          <t>4 - Histrionic</t>
        </is>
      </c>
      <c r="B18" s="13" t="inlineStr">
        <is>
          <t>4B</t>
        </is>
      </c>
      <c r="C18" s="13" t="inlineStr">
        <is>
          <t>Interpersonally Attention-Seeking</t>
        </is>
      </c>
      <c r="D18" s="13" t="inlineStr">
        <is>
          <t>[8, 36, 63, 88, 120]</t>
        </is>
      </c>
      <c r="E18" s="18">
        <f>Item_Responses!B16+Item_Responses!B44+Item_Responses!E11+Item_Responses!E36+Item_Responses!E68</f>
        <v/>
      </c>
      <c r="F18" s="13">
        <f>IF(E18="","",IF(E18&gt;=5*0.7,"Elevated",IF(E18&gt;=5*0.4,"Moderate","Low")))</f>
        <v/>
      </c>
    </row>
    <row r="19">
      <c r="A19" s="13" t="inlineStr">
        <is>
          <t>4 - Histrionic</t>
        </is>
      </c>
      <c r="B19" s="13" t="inlineStr">
        <is>
          <t>4C</t>
        </is>
      </c>
      <c r="C19" s="13" t="inlineStr">
        <is>
          <t>Cognitively Flighty</t>
        </is>
      </c>
      <c r="D19" s="13" t="inlineStr">
        <is>
          <t>[16, 41, 68, 95, 132]</t>
        </is>
      </c>
      <c r="E19" s="18">
        <f>Item_Responses!B24+Item_Responses!B49+Item_Responses!E16+Item_Responses!E43+Item_Responses!H20</f>
        <v/>
      </c>
      <c r="F19" s="13">
        <f>IF(E19="","",IF(E19&gt;=5*0.7,"Elevated",IF(E19&gt;=5*0.4,"Moderate","Low")))</f>
        <v/>
      </c>
    </row>
    <row r="20">
      <c r="A20" s="13" t="inlineStr">
        <is>
          <t>5 - Narcissistic</t>
        </is>
      </c>
      <c r="B20" s="13" t="inlineStr">
        <is>
          <t>5A</t>
        </is>
      </c>
      <c r="C20" s="13" t="inlineStr">
        <is>
          <t>Expressively Haughty</t>
        </is>
      </c>
      <c r="D20" s="13" t="inlineStr">
        <is>
          <t>[2, 23, 48, 76, 108]</t>
        </is>
      </c>
      <c r="E20" s="18">
        <f>Item_Responses!B10+Item_Responses!B31+Item_Responses!B56+Item_Responses!E24+Item_Responses!E56</f>
        <v/>
      </c>
      <c r="F20" s="13">
        <f>IF(E20="","",IF(E20&gt;=5*0.7,"Elevated",IF(E20&gt;=5*0.4,"Moderate","Low")))</f>
        <v/>
      </c>
    </row>
    <row r="21">
      <c r="A21" s="13" t="inlineStr">
        <is>
          <t>5 - Narcissistic</t>
        </is>
      </c>
      <c r="B21" s="13" t="inlineStr">
        <is>
          <t>5B</t>
        </is>
      </c>
      <c r="C21" s="13" t="inlineStr">
        <is>
          <t>Interpersonally Exploitative</t>
        </is>
      </c>
      <c r="D21" s="13" t="inlineStr">
        <is>
          <t>[8, 30, 63, 88, 114]</t>
        </is>
      </c>
      <c r="E21" s="18">
        <f>Item_Responses!B16+Item_Responses!B38+Item_Responses!E11+Item_Responses!E36+Item_Responses!E62</f>
        <v/>
      </c>
      <c r="F21" s="13">
        <f>IF(E21="","",IF(E21&gt;=5*0.7,"Elevated",IF(E21&gt;=5*0.4,"Moderate","Low")))</f>
        <v/>
      </c>
    </row>
    <row r="22">
      <c r="A22" s="13" t="inlineStr">
        <is>
          <t>5 - Narcissistic</t>
        </is>
      </c>
      <c r="B22" s="13" t="inlineStr">
        <is>
          <t>5C</t>
        </is>
      </c>
      <c r="C22" s="13" t="inlineStr">
        <is>
          <t>Cognitively Expansive</t>
        </is>
      </c>
      <c r="D22" s="13" t="inlineStr">
        <is>
          <t>[16, 41, 68, 95, 132]</t>
        </is>
      </c>
      <c r="E22" s="18">
        <f>Item_Responses!B24+Item_Responses!B49+Item_Responses!E16+Item_Responses!E43+Item_Responses!H20</f>
        <v/>
      </c>
      <c r="F22" s="13">
        <f>IF(E22="","",IF(E22&gt;=5*0.7,"Elevated",IF(E22&gt;=5*0.4,"Moderate","Low")))</f>
        <v/>
      </c>
    </row>
    <row r="23">
      <c r="A23" s="13" t="inlineStr">
        <is>
          <t>6A - Antisocial</t>
        </is>
      </c>
      <c r="B23" s="13" t="inlineStr">
        <is>
          <t>6A-A</t>
        </is>
      </c>
      <c r="C23" s="13" t="inlineStr">
        <is>
          <t>Expressively Impulsive</t>
        </is>
      </c>
      <c r="D23" s="13" t="inlineStr">
        <is>
          <t>[5, 21, 42, 64, 87]</t>
        </is>
      </c>
      <c r="E23" s="18">
        <f>Item_Responses!B13+Item_Responses!B29+Item_Responses!B50+Item_Responses!E12+Item_Responses!E35</f>
        <v/>
      </c>
      <c r="F23" s="13">
        <f>IF(E23="","",IF(E23&gt;=5*0.7,"Elevated",IF(E23&gt;=5*0.4,"Moderate","Low")))</f>
        <v/>
      </c>
    </row>
    <row r="24">
      <c r="A24" s="13" t="inlineStr">
        <is>
          <t>6A - Antisocial</t>
        </is>
      </c>
      <c r="B24" s="13" t="inlineStr">
        <is>
          <t>6A-B</t>
        </is>
      </c>
      <c r="C24" s="13" t="inlineStr">
        <is>
          <t>Interpersonally Irresponsible</t>
        </is>
      </c>
      <c r="D24" s="13" t="inlineStr">
        <is>
          <t>[15, 35, 60, 82, 106]</t>
        </is>
      </c>
      <c r="E24" s="18">
        <f>Item_Responses!B23+Item_Responses!B43+Item_Responses!B68+Item_Responses!E30+Item_Responses!E54</f>
        <v/>
      </c>
      <c r="F24" s="13">
        <f>IF(E24="","",IF(E24&gt;=5*0.7,"Elevated",IF(E24&gt;=5*0.4,"Moderate","Low")))</f>
        <v/>
      </c>
    </row>
    <row r="25">
      <c r="A25" s="13" t="inlineStr">
        <is>
          <t>6A - Antisocial</t>
        </is>
      </c>
      <c r="B25" s="13" t="inlineStr">
        <is>
          <t>6A-C</t>
        </is>
      </c>
      <c r="C25" s="13" t="inlineStr">
        <is>
          <t>Cognitively Deviant</t>
        </is>
      </c>
      <c r="D25" s="13" t="inlineStr">
        <is>
          <t>[27, 44, 69, 93, 117]</t>
        </is>
      </c>
      <c r="E25" s="18">
        <f>Item_Responses!B35+Item_Responses!B52+Item_Responses!E17+Item_Responses!E41+Item_Responses!E65</f>
        <v/>
      </c>
      <c r="F25" s="13">
        <f>IF(E25="","",IF(E25&gt;=5*0.7,"Elevated",IF(E25&gt;=5*0.4,"Moderate","Low")))</f>
        <v/>
      </c>
    </row>
    <row r="26">
      <c r="A26" s="13" t="inlineStr">
        <is>
          <t>6B - Sadistic (Aggressive)</t>
        </is>
      </c>
      <c r="B26" s="13" t="inlineStr">
        <is>
          <t>6B-A</t>
        </is>
      </c>
      <c r="C26" s="13" t="inlineStr">
        <is>
          <t>Expressively Precipitate</t>
        </is>
      </c>
      <c r="D26" s="13" t="inlineStr">
        <is>
          <t>[5, 21, 42, 64, 87]</t>
        </is>
      </c>
      <c r="E26" s="18">
        <f>Item_Responses!B13+Item_Responses!B29+Item_Responses!B50+Item_Responses!E12+Item_Responses!E35</f>
        <v/>
      </c>
      <c r="F26" s="13">
        <f>IF(E26="","",IF(E26&gt;=5*0.7,"Elevated",IF(E26&gt;=5*0.4,"Moderate","Low")))</f>
        <v/>
      </c>
    </row>
    <row r="27">
      <c r="A27" s="13" t="inlineStr">
        <is>
          <t>6B - Sadistic (Aggressive)</t>
        </is>
      </c>
      <c r="B27" s="13" t="inlineStr">
        <is>
          <t>6B-B</t>
        </is>
      </c>
      <c r="C27" s="13" t="inlineStr">
        <is>
          <t>Interpersonally Abrasive</t>
        </is>
      </c>
      <c r="D27" s="13" t="inlineStr">
        <is>
          <t>[15, 35, 60, 82, 106]</t>
        </is>
      </c>
      <c r="E27" s="18">
        <f>Item_Responses!B23+Item_Responses!B43+Item_Responses!B68+Item_Responses!E30+Item_Responses!E54</f>
        <v/>
      </c>
      <c r="F27" s="13">
        <f>IF(E27="","",IF(E27&gt;=5*0.7,"Elevated",IF(E27&gt;=5*0.4,"Moderate","Low")))</f>
        <v/>
      </c>
    </row>
    <row r="28">
      <c r="A28" s="13" t="inlineStr">
        <is>
          <t>6B - Sadistic (Aggressive)</t>
        </is>
      </c>
      <c r="B28" s="13" t="inlineStr">
        <is>
          <t>6B-C</t>
        </is>
      </c>
      <c r="C28" s="13" t="inlineStr">
        <is>
          <t>Cognitively Dogmatic</t>
        </is>
      </c>
      <c r="D28" s="13" t="inlineStr">
        <is>
          <t>[27, 44, 69, 93, 117]</t>
        </is>
      </c>
      <c r="E28" s="18">
        <f>Item_Responses!B35+Item_Responses!B52+Item_Responses!E17+Item_Responses!E41+Item_Responses!E65</f>
        <v/>
      </c>
      <c r="F28" s="13">
        <f>IF(E28="","",IF(E28&gt;=5*0.7,"Elevated",IF(E28&gt;=5*0.4,"Moderate","Low")))</f>
        <v/>
      </c>
    </row>
    <row r="29">
      <c r="A29" s="13" t="inlineStr">
        <is>
          <t>7 - Compulsive</t>
        </is>
      </c>
      <c r="B29" s="13" t="inlineStr">
        <is>
          <t>7A</t>
        </is>
      </c>
      <c r="C29" s="13" t="inlineStr">
        <is>
          <t>Expressively Disciplined</t>
        </is>
      </c>
      <c r="D29" s="13" t="inlineStr">
        <is>
          <t>[2, 16, 41, 68, 105]</t>
        </is>
      </c>
      <c r="E29" s="18">
        <f>Item_Responses!B10+Item_Responses!B24+Item_Responses!B49+Item_Responses!E16+Item_Responses!E53</f>
        <v/>
      </c>
      <c r="F29" s="13">
        <f>IF(E29="","",IF(E29&gt;=5*0.7,"Elevated",IF(E29&gt;=5*0.4,"Moderate","Low")))</f>
        <v/>
      </c>
    </row>
    <row r="30">
      <c r="A30" s="13" t="inlineStr">
        <is>
          <t>7 - Compulsive</t>
        </is>
      </c>
      <c r="B30" s="13" t="inlineStr">
        <is>
          <t>7B</t>
        </is>
      </c>
      <c r="C30" s="13" t="inlineStr">
        <is>
          <t>Interpersonally Respectful</t>
        </is>
      </c>
      <c r="D30" s="13" t="inlineStr">
        <is>
          <t>[8, 36, 57, 78]</t>
        </is>
      </c>
      <c r="E30" s="18">
        <f>Item_Responses!B16+Item_Responses!B44+Item_Responses!B65+Item_Responses!E26</f>
        <v/>
      </c>
      <c r="F30" s="13">
        <f>IF(E30="","",IF(E30&gt;=4*0.7,"Elevated",IF(E30&gt;=4*0.4,"Moderate","Low")))</f>
        <v/>
      </c>
    </row>
    <row r="31">
      <c r="A31" s="13" t="inlineStr">
        <is>
          <t>7 - Compulsive</t>
        </is>
      </c>
      <c r="B31" s="13" t="inlineStr">
        <is>
          <t>7C</t>
        </is>
      </c>
      <c r="C31" s="13" t="inlineStr">
        <is>
          <t>Cognitively Constricted</t>
        </is>
      </c>
      <c r="D31" s="13" t="inlineStr">
        <is>
          <t>[2, 8, 16, 36, 41]</t>
        </is>
      </c>
      <c r="E31" s="18">
        <f>Item_Responses!B10+Item_Responses!B16+Item_Responses!B24+Item_Responses!B44+Item_Responses!B49</f>
        <v/>
      </c>
      <c r="F31" s="13">
        <f>IF(E31="","",IF(E31&gt;=5*0.7,"Elevated",IF(E31&gt;=5*0.4,"Moderate","Low")))</f>
        <v/>
      </c>
    </row>
    <row r="32">
      <c r="A32" s="13" t="inlineStr">
        <is>
          <t>8A - Negativistic (Passive-Aggressive)</t>
        </is>
      </c>
      <c r="B32" s="13" t="inlineStr">
        <is>
          <t>8A-A</t>
        </is>
      </c>
      <c r="C32" s="13" t="inlineStr">
        <is>
          <t>Expressively Resentful</t>
        </is>
      </c>
      <c r="D32" s="13" t="inlineStr">
        <is>
          <t>[7, 30, 51, 75, 100]</t>
        </is>
      </c>
      <c r="E32" s="18">
        <f>Item_Responses!B15+Item_Responses!B38+Item_Responses!B59+Item_Responses!E23+Item_Responses!E48</f>
        <v/>
      </c>
      <c r="F32" s="13">
        <f>IF(E32="","",IF(E32&gt;=5*0.7,"Elevated",IF(E32&gt;=5*0.4,"Moderate","Low")))</f>
        <v/>
      </c>
    </row>
    <row r="33">
      <c r="A33" s="13" t="inlineStr">
        <is>
          <t>8A - Negativistic (Passive-Aggressive)</t>
        </is>
      </c>
      <c r="B33" s="13" t="inlineStr">
        <is>
          <t>8A-B</t>
        </is>
      </c>
      <c r="C33" s="13" t="inlineStr">
        <is>
          <t>Interpersonally Contrary</t>
        </is>
      </c>
      <c r="D33" s="13" t="inlineStr">
        <is>
          <t>[37, 56, 80, 104, 125]</t>
        </is>
      </c>
      <c r="E33" s="18">
        <f>Item_Responses!B45+Item_Responses!B64+Item_Responses!E28+Item_Responses!E52+Item_Responses!H13</f>
        <v/>
      </c>
      <c r="F33" s="13">
        <f>IF(E33="","",IF(E33&gt;=5*0.7,"Elevated",IF(E33&gt;=5*0.4,"Moderate","Low")))</f>
        <v/>
      </c>
    </row>
    <row r="34">
      <c r="A34" s="13" t="inlineStr">
        <is>
          <t>8A - Negativistic (Passive-Aggressive)</t>
        </is>
      </c>
      <c r="B34" s="13" t="inlineStr">
        <is>
          <t>8A-C</t>
        </is>
      </c>
      <c r="C34" s="13" t="inlineStr">
        <is>
          <t>Cognitively Skeptical</t>
        </is>
      </c>
      <c r="D34" s="13" t="inlineStr">
        <is>
          <t>[66, 85, 96, 113, 137]</t>
        </is>
      </c>
      <c r="E34" s="18">
        <f>Item_Responses!E14+Item_Responses!E33+Item_Responses!E44+Item_Responses!E61+Item_Responses!H25</f>
        <v/>
      </c>
      <c r="F34" s="13">
        <f>IF(E34="","",IF(E34&gt;=5*0.7,"Elevated",IF(E34&gt;=5*0.4,"Moderate","Low")))</f>
        <v/>
      </c>
    </row>
    <row r="35">
      <c r="A35" s="13" t="inlineStr">
        <is>
          <t>8B - Masochistic (Self-Defeating)</t>
        </is>
      </c>
      <c r="B35" s="13" t="inlineStr">
        <is>
          <t>8B-A</t>
        </is>
      </c>
      <c r="C35" s="13" t="inlineStr">
        <is>
          <t>Expressively Abstinent</t>
        </is>
      </c>
      <c r="D35" s="13" t="inlineStr">
        <is>
          <t>[10, 50, 89, 121, 151]</t>
        </is>
      </c>
      <c r="E35" s="18">
        <f>Item_Responses!B18+Item_Responses!B58+Item_Responses!E37+Item_Responses!H9+Item_Responses!H39</f>
        <v/>
      </c>
      <c r="F35" s="13">
        <f>IF(E35="","",IF(E35&gt;=5*0.7,"Elevated",IF(E35&gt;=5*0.4,"Moderate","Low")))</f>
        <v/>
      </c>
    </row>
    <row r="36">
      <c r="A36" s="13" t="inlineStr">
        <is>
          <t>8B - Masochistic (Self-Defeating)</t>
        </is>
      </c>
      <c r="B36" s="13" t="inlineStr">
        <is>
          <t>8B-B</t>
        </is>
      </c>
      <c r="C36" s="13" t="inlineStr">
        <is>
          <t>Interpersonally Deferential</t>
        </is>
      </c>
      <c r="D36" s="13" t="inlineStr">
        <is>
          <t>[24, 62, 97, 133, 164]</t>
        </is>
      </c>
      <c r="E36" s="18">
        <f>Item_Responses!B32+Item_Responses!E10+Item_Responses!E45+Item_Responses!H21+Item_Responses!H52</f>
        <v/>
      </c>
      <c r="F36" s="13">
        <f>IF(E36="","",IF(E36&gt;=5*0.7,"Elevated",IF(E36&gt;=5*0.4,"Moderate","Low")))</f>
        <v/>
      </c>
    </row>
    <row r="37">
      <c r="A37" s="13" t="inlineStr">
        <is>
          <t>8B - Masochistic (Self-Defeating)</t>
        </is>
      </c>
      <c r="B37" s="13" t="inlineStr">
        <is>
          <t>8B-C</t>
        </is>
      </c>
      <c r="C37" s="13" t="inlineStr">
        <is>
          <t>Cognitively Diffident</t>
        </is>
      </c>
      <c r="D37" s="13" t="inlineStr">
        <is>
          <t>[31, 75, 107, 139, 172]</t>
        </is>
      </c>
      <c r="E37" s="18">
        <f>Item_Responses!B39+Item_Responses!E23+Item_Responses!E55+Item_Responses!H27+Item_Responses!H60</f>
        <v/>
      </c>
      <c r="F37" s="13">
        <f>IF(E37="","",IF(E37&gt;=5*0.7,"Elevated",IF(E37&gt;=5*0.4,"Moderate","Low")))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MCMI-III INCONSISTENCY SCALE (W)</t>
        </is>
      </c>
    </row>
    <row r="2">
      <c r="A2" s="2" t="inlineStr">
        <is>
          <t>Counts item pairs where responses are inconsistent</t>
        </is>
      </c>
    </row>
    <row r="4">
      <c r="A4" s="17" t="inlineStr">
        <is>
          <t>Pair #</t>
        </is>
      </c>
      <c r="B4" s="17" t="inlineStr">
        <is>
          <t>Item A</t>
        </is>
      </c>
      <c r="C4" s="17" t="inlineStr">
        <is>
          <t>Item B</t>
        </is>
      </c>
      <c r="D4" s="17" t="inlineStr">
        <is>
          <t>Response A</t>
        </is>
      </c>
      <c r="E4" s="17" t="inlineStr">
        <is>
          <t>Response B</t>
        </is>
      </c>
      <c r="F4" s="17" t="inlineStr">
        <is>
          <t>Inconsistent?</t>
        </is>
      </c>
    </row>
    <row r="5">
      <c r="A5" s="13" t="n">
        <v>1</v>
      </c>
      <c r="B5" s="13" t="n">
        <v>5</v>
      </c>
      <c r="C5" s="13" t="n">
        <v>105</v>
      </c>
      <c r="D5" s="13">
        <f>Item_Responses!B13</f>
        <v/>
      </c>
      <c r="E5" s="13">
        <f>Item_Responses!E53</f>
        <v/>
      </c>
      <c r="F5" s="13">
        <f>IF(OR(AND(Item_Responses!B13=1,Item_Responses!E53=1),AND(Item_Responses!B13=0,Item_Responses!E53=0)),1,0)</f>
        <v/>
      </c>
    </row>
    <row r="6">
      <c r="A6" s="13" t="n">
        <v>2</v>
      </c>
      <c r="B6" s="13" t="n">
        <v>6</v>
      </c>
      <c r="C6" s="13" t="n">
        <v>86</v>
      </c>
      <c r="D6" s="13">
        <f>Item_Responses!B14</f>
        <v/>
      </c>
      <c r="E6" s="13">
        <f>Item_Responses!E34</f>
        <v/>
      </c>
      <c r="F6" s="13">
        <f>IF(OR(AND(Item_Responses!B14=1,Item_Responses!E34=1),AND(Item_Responses!B14=0,Item_Responses!E34=0)),1,0)</f>
        <v/>
      </c>
    </row>
    <row r="7">
      <c r="A7" s="13" t="n">
        <v>3</v>
      </c>
      <c r="B7" s="13" t="n">
        <v>14</v>
      </c>
      <c r="C7" s="13" t="n">
        <v>55</v>
      </c>
      <c r="D7" s="13">
        <f>Item_Responses!B22</f>
        <v/>
      </c>
      <c r="E7" s="13">
        <f>Item_Responses!B63</f>
        <v/>
      </c>
      <c r="F7" s="13">
        <f>IF(OR(AND(Item_Responses!B22=1,Item_Responses!B63=1),AND(Item_Responses!B22=0,Item_Responses!B63=0)),1,0)</f>
        <v/>
      </c>
    </row>
    <row r="8">
      <c r="A8" s="13" t="n">
        <v>4</v>
      </c>
      <c r="B8" s="13" t="n">
        <v>15</v>
      </c>
      <c r="C8" s="13" t="n">
        <v>78</v>
      </c>
      <c r="D8" s="13">
        <f>Item_Responses!B23</f>
        <v/>
      </c>
      <c r="E8" s="13">
        <f>Item_Responses!E26</f>
        <v/>
      </c>
      <c r="F8" s="13">
        <f>IF(OR(AND(Item_Responses!B23=1,Item_Responses!E26=1),AND(Item_Responses!B23=0,Item_Responses!E26=0)),1,0)</f>
        <v/>
      </c>
    </row>
    <row r="9">
      <c r="A9" s="13" t="n">
        <v>5</v>
      </c>
      <c r="B9" s="13" t="n">
        <v>21</v>
      </c>
      <c r="C9" s="13" t="n">
        <v>57</v>
      </c>
      <c r="D9" s="13">
        <f>Item_Responses!B29</f>
        <v/>
      </c>
      <c r="E9" s="13">
        <f>Item_Responses!B65</f>
        <v/>
      </c>
      <c r="F9" s="13">
        <f>IF(OR(AND(Item_Responses!B29=1,Item_Responses!B65=1),AND(Item_Responses!B29=0,Item_Responses!B65=0)),1,0)</f>
        <v/>
      </c>
    </row>
    <row r="10">
      <c r="A10" s="13" t="n">
        <v>6</v>
      </c>
      <c r="B10" s="13" t="n">
        <v>27</v>
      </c>
      <c r="C10" s="13" t="n">
        <v>68</v>
      </c>
      <c r="D10" s="13">
        <f>Item_Responses!B35</f>
        <v/>
      </c>
      <c r="E10" s="13">
        <f>Item_Responses!E16</f>
        <v/>
      </c>
      <c r="F10" s="13">
        <f>IF(OR(AND(Item_Responses!B35=1,Item_Responses!E16=1),AND(Item_Responses!B35=0,Item_Responses!E16=0)),1,0)</f>
        <v/>
      </c>
    </row>
    <row r="11">
      <c r="A11" s="13" t="n">
        <v>7</v>
      </c>
      <c r="B11" s="13" t="n">
        <v>31</v>
      </c>
      <c r="C11" s="13" t="n">
        <v>95</v>
      </c>
      <c r="D11" s="13">
        <f>Item_Responses!B39</f>
        <v/>
      </c>
      <c r="E11" s="13">
        <f>Item_Responses!E43</f>
        <v/>
      </c>
      <c r="F11" s="13">
        <f>IF(OR(AND(Item_Responses!B39=1,Item_Responses!E43=1),AND(Item_Responses!B39=0,Item_Responses!E43=0)),1,0)</f>
        <v/>
      </c>
    </row>
    <row r="12">
      <c r="A12" s="13" t="n">
        <v>8</v>
      </c>
      <c r="B12" s="13" t="n">
        <v>34</v>
      </c>
      <c r="C12" s="13" t="n">
        <v>114</v>
      </c>
      <c r="D12" s="13">
        <f>Item_Responses!B42</f>
        <v/>
      </c>
      <c r="E12" s="13">
        <f>Item_Responses!E62</f>
        <v/>
      </c>
      <c r="F12" s="13">
        <f>IF(OR(AND(Item_Responses!B42=1,Item_Responses!E62=1),AND(Item_Responses!B42=0,Item_Responses!E62=0)),1,0)</f>
        <v/>
      </c>
    </row>
    <row r="13">
      <c r="A13" s="13" t="n">
        <v>9</v>
      </c>
      <c r="B13" s="13" t="n">
        <v>35</v>
      </c>
      <c r="C13" s="13" t="n">
        <v>36</v>
      </c>
      <c r="D13" s="13">
        <f>Item_Responses!B43</f>
        <v/>
      </c>
      <c r="E13" s="13">
        <f>Item_Responses!B44</f>
        <v/>
      </c>
      <c r="F13" s="13">
        <f>IF(OR(AND(Item_Responses!B43=1,Item_Responses!B44=1),AND(Item_Responses!B43=0,Item_Responses!B44=0)),1,0)</f>
        <v/>
      </c>
    </row>
    <row r="14">
      <c r="A14" s="13" t="n">
        <v>10</v>
      </c>
      <c r="B14" s="13" t="n">
        <v>37</v>
      </c>
      <c r="C14" s="13" t="n">
        <v>101</v>
      </c>
      <c r="D14" s="13">
        <f>Item_Responses!B45</f>
        <v/>
      </c>
      <c r="E14" s="13">
        <f>Item_Responses!E49</f>
        <v/>
      </c>
      <c r="F14" s="13">
        <f>IF(OR(AND(Item_Responses!B45=1,Item_Responses!E49=1),AND(Item_Responses!B45=0,Item_Responses!E49=0)),1,0)</f>
        <v/>
      </c>
    </row>
    <row r="15">
      <c r="A15" s="13" t="n">
        <v>11</v>
      </c>
      <c r="B15" s="13" t="n">
        <v>40</v>
      </c>
      <c r="C15" s="13" t="n">
        <v>63</v>
      </c>
      <c r="D15" s="13">
        <f>Item_Responses!B48</f>
        <v/>
      </c>
      <c r="E15" s="13">
        <f>Item_Responses!E11</f>
        <v/>
      </c>
      <c r="F15" s="13">
        <f>IF(OR(AND(Item_Responses!B48=1,Item_Responses!E11=1),AND(Item_Responses!B48=0,Item_Responses!E11=0)),1,0)</f>
        <v/>
      </c>
    </row>
    <row r="16">
      <c r="A16" s="13" t="n">
        <v>12</v>
      </c>
      <c r="B16" s="13" t="n">
        <v>42</v>
      </c>
      <c r="C16" s="13" t="n">
        <v>132</v>
      </c>
      <c r="D16" s="13">
        <f>Item_Responses!B50</f>
        <v/>
      </c>
      <c r="E16" s="13">
        <f>Item_Responses!H20</f>
        <v/>
      </c>
      <c r="F16" s="13">
        <f>IF(OR(AND(Item_Responses!B50=1,Item_Responses!H20=1),AND(Item_Responses!B50=0,Item_Responses!H20=0)),1,0)</f>
        <v/>
      </c>
    </row>
    <row r="17">
      <c r="A17" s="13" t="n">
        <v>13</v>
      </c>
      <c r="B17" s="13" t="n">
        <v>44</v>
      </c>
      <c r="C17" s="13" t="n">
        <v>120</v>
      </c>
      <c r="D17" s="13">
        <f>Item_Responses!B52</f>
        <v/>
      </c>
      <c r="E17" s="13">
        <f>Item_Responses!E68</f>
        <v/>
      </c>
      <c r="F17" s="13">
        <f>IF(OR(AND(Item_Responses!B52=1,Item_Responses!E68=1),AND(Item_Responses!B52=0,Item_Responses!E68=0)),1,0)</f>
        <v/>
      </c>
    </row>
    <row r="18">
      <c r="A18" s="13" t="n">
        <v>14</v>
      </c>
      <c r="B18" s="13" t="n">
        <v>46</v>
      </c>
      <c r="C18" s="13" t="n">
        <v>88</v>
      </c>
      <c r="D18" s="13">
        <f>Item_Responses!B54</f>
        <v/>
      </c>
      <c r="E18" s="13">
        <f>Item_Responses!E36</f>
        <v/>
      </c>
      <c r="F18" s="13">
        <f>IF(OR(AND(Item_Responses!B54=1,Item_Responses!E36=1),AND(Item_Responses!B54=0,Item_Responses!E36=0)),1,0)</f>
        <v/>
      </c>
    </row>
    <row r="19">
      <c r="A19" s="13" t="n">
        <v>15</v>
      </c>
      <c r="B19" s="13" t="n">
        <v>50</v>
      </c>
      <c r="C19" s="13" t="n">
        <v>144</v>
      </c>
      <c r="D19" s="13">
        <f>Item_Responses!B58</f>
        <v/>
      </c>
      <c r="E19" s="13">
        <f>Item_Responses!H32</f>
        <v/>
      </c>
      <c r="F19" s="13">
        <f>IF(OR(AND(Item_Responses!B58=1,Item_Responses!H32=1),AND(Item_Responses!B58=0,Item_Responses!H32=0)),1,0)</f>
        <v/>
      </c>
    </row>
    <row r="20">
      <c r="A20" s="13" t="n">
        <v>16</v>
      </c>
      <c r="B20" s="13" t="n">
        <v>51</v>
      </c>
      <c r="C20" s="13" t="n">
        <v>138</v>
      </c>
      <c r="D20" s="13">
        <f>Item_Responses!B59</f>
        <v/>
      </c>
      <c r="E20" s="13">
        <f>Item_Responses!H26</f>
        <v/>
      </c>
      <c r="F20" s="13">
        <f>IF(OR(AND(Item_Responses!B59=1,Item_Responses!H26=1),AND(Item_Responses!B59=0,Item_Responses!H26=0)),1,0)</f>
        <v/>
      </c>
    </row>
    <row r="21">
      <c r="A21" s="13" t="n">
        <v>17</v>
      </c>
      <c r="B21" s="13" t="n">
        <v>53</v>
      </c>
      <c r="C21" s="13" t="n">
        <v>76</v>
      </c>
      <c r="D21" s="13">
        <f>Item_Responses!B61</f>
        <v/>
      </c>
      <c r="E21" s="13">
        <f>Item_Responses!E24</f>
        <v/>
      </c>
      <c r="F21" s="13">
        <f>IF(OR(AND(Item_Responses!B61=1,Item_Responses!E24=1),AND(Item_Responses!B61=0,Item_Responses!E24=0)),1,0)</f>
        <v/>
      </c>
    </row>
    <row r="22">
      <c r="A22" s="13" t="n">
        <v>18</v>
      </c>
      <c r="B22" s="13" t="n">
        <v>54</v>
      </c>
      <c r="C22" s="13" t="n">
        <v>150</v>
      </c>
      <c r="D22" s="13">
        <f>Item_Responses!B62</f>
        <v/>
      </c>
      <c r="E22" s="13">
        <f>Item_Responses!H38</f>
        <v/>
      </c>
      <c r="F22" s="13">
        <f>IF(OR(AND(Item_Responses!B62=1,Item_Responses!H38=1),AND(Item_Responses!B62=0,Item_Responses!H38=0)),1,0)</f>
        <v/>
      </c>
    </row>
    <row r="23">
      <c r="A23" s="13" t="n">
        <v>19</v>
      </c>
      <c r="B23" s="13" t="n">
        <v>56</v>
      </c>
      <c r="C23" s="13" t="n">
        <v>162</v>
      </c>
      <c r="D23" s="13">
        <f>Item_Responses!B64</f>
        <v/>
      </c>
      <c r="E23" s="13">
        <f>Item_Responses!H50</f>
        <v/>
      </c>
      <c r="F23" s="13">
        <f>IF(OR(AND(Item_Responses!B64=1,Item_Responses!H50=1),AND(Item_Responses!B64=0,Item_Responses!H50=0)),1,0)</f>
        <v/>
      </c>
    </row>
    <row r="24">
      <c r="A24" s="13" t="n">
        <v>20</v>
      </c>
      <c r="B24" s="13" t="n">
        <v>58</v>
      </c>
      <c r="C24" s="13" t="n">
        <v>156</v>
      </c>
      <c r="D24" s="13">
        <f>Item_Responses!B66</f>
        <v/>
      </c>
      <c r="E24" s="13">
        <f>Item_Responses!H44</f>
        <v/>
      </c>
      <c r="F24" s="13">
        <f>IF(OR(AND(Item_Responses!B66=1,Item_Responses!H44=1),AND(Item_Responses!B66=0,Item_Responses!H44=0)),1,0)</f>
        <v/>
      </c>
    </row>
    <row r="25">
      <c r="A25" s="13" t="n">
        <v>21</v>
      </c>
      <c r="B25" s="13" t="n">
        <v>60</v>
      </c>
      <c r="C25" s="13" t="n">
        <v>168</v>
      </c>
      <c r="D25" s="13">
        <f>Item_Responses!B68</f>
        <v/>
      </c>
      <c r="E25" s="13">
        <f>Item_Responses!H56</f>
        <v/>
      </c>
      <c r="F25" s="13">
        <f>IF(OR(AND(Item_Responses!B68=1,Item_Responses!H56=1),AND(Item_Responses!B68=0,Item_Responses!H56=0)),1,0)</f>
        <v/>
      </c>
    </row>
    <row r="26">
      <c r="A26" s="13" t="n">
        <v>22</v>
      </c>
      <c r="B26" s="13" t="n">
        <v>62</v>
      </c>
      <c r="C26" s="13" t="n">
        <v>174</v>
      </c>
      <c r="D26" s="13">
        <f>Item_Responses!E10</f>
        <v/>
      </c>
      <c r="E26" s="13">
        <f>Item_Responses!H62</f>
        <v/>
      </c>
      <c r="F26" s="13">
        <f>IF(OR(AND(Item_Responses!E10=1,Item_Responses!H62=1),AND(Item_Responses!E10=0,Item_Responses!H62=0)),1,0)</f>
        <v/>
      </c>
    </row>
    <row r="27">
      <c r="A27" s="13" t="n">
        <v>23</v>
      </c>
      <c r="B27" s="13" t="n">
        <v>64</v>
      </c>
      <c r="C27" s="13" t="n">
        <v>126</v>
      </c>
      <c r="D27" s="13">
        <f>Item_Responses!E12</f>
        <v/>
      </c>
      <c r="E27" s="13">
        <f>Item_Responses!H14</f>
        <v/>
      </c>
      <c r="F27" s="13">
        <f>IF(OR(AND(Item_Responses!E12=1,Item_Responses!H14=1),AND(Item_Responses!E12=0,Item_Responses!H14=0)),1,0)</f>
        <v/>
      </c>
    </row>
    <row r="28">
      <c r="A28" s="13" t="n">
        <v>24</v>
      </c>
      <c r="B28" s="13" t="n">
        <v>66</v>
      </c>
      <c r="C28" s="13" t="n">
        <v>108</v>
      </c>
      <c r="D28" s="13">
        <f>Item_Responses!E14</f>
        <v/>
      </c>
      <c r="E28" s="13">
        <f>Item_Responses!E56</f>
        <v/>
      </c>
      <c r="F28" s="13">
        <f>IF(OR(AND(Item_Responses!E14=1,Item_Responses!E56=1),AND(Item_Responses!E14=0,Item_Responses!E56=0)),1,0)</f>
        <v/>
      </c>
    </row>
    <row r="29">
      <c r="A29" s="13" t="n">
        <v>25</v>
      </c>
      <c r="B29" s="13" t="n">
        <v>69</v>
      </c>
      <c r="C29" s="13" t="n">
        <v>83</v>
      </c>
      <c r="D29" s="13">
        <f>Item_Responses!E17</f>
        <v/>
      </c>
      <c r="E29" s="13">
        <f>Item_Responses!E31</f>
        <v/>
      </c>
      <c r="F29" s="13">
        <f>IF(OR(AND(Item_Responses!E17=1,Item_Responses!E31=1),AND(Item_Responses!E17=0,Item_Responses!E31=0)),1,0)</f>
        <v/>
      </c>
    </row>
    <row r="31">
      <c r="A31" s="10" t="inlineStr">
        <is>
          <t>TOTAL W SCORE:</t>
        </is>
      </c>
      <c r="F31" s="19">
        <f>SUM(F5:F29)</f>
        <v/>
      </c>
    </row>
    <row r="32">
      <c r="A32" t="inlineStr">
        <is>
          <t>Interpretation:</t>
        </is>
      </c>
      <c r="B32">
        <f>IF(F31&gt;12,"INVALID - W too high (&gt;12), consider random responding",IF(F31&gt;8,"CAUTION - Elevated inconsistency","VALID - Acceptable consistency"))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28" customWidth="1" min="4" max="4"/>
    <col width="30" customWidth="1" min="5" max="5"/>
  </cols>
  <sheetData>
    <row r="1">
      <c r="A1" s="1" t="inlineStr">
        <is>
          <t>MCMI-III PROFILE SUMMARY</t>
        </is>
      </c>
    </row>
    <row r="2">
      <c r="A2" s="2" t="inlineStr">
        <is>
          <t>Summary of all scales with final BR scores and clinical interpretation</t>
        </is>
      </c>
    </row>
    <row r="4">
      <c r="A4" t="inlineStr">
        <is>
          <t>Patient:</t>
        </is>
      </c>
      <c r="B4">
        <f>Item_Responses!B4</f>
        <v/>
      </c>
      <c r="D4" t="inlineStr">
        <is>
          <t>Date:</t>
        </is>
      </c>
      <c r="E4">
        <f>Item_Responses!E4</f>
        <v/>
      </c>
    </row>
    <row r="5">
      <c r="A5" t="inlineStr">
        <is>
          <t>Validity:</t>
        </is>
      </c>
      <c r="B5" s="20">
        <f>Scoring_Results!B7</f>
        <v/>
      </c>
    </row>
    <row r="7">
      <c r="A7" s="17" t="inlineStr">
        <is>
          <t>Scale</t>
        </is>
      </c>
      <c r="B7" s="17" t="inlineStr">
        <is>
          <t>Name</t>
        </is>
      </c>
      <c r="C7" s="17" t="inlineStr">
        <is>
          <t>Final BR</t>
        </is>
      </c>
      <c r="D7" s="17" t="inlineStr">
        <is>
          <t>Significance</t>
        </is>
      </c>
      <c r="E7" s="17" t="inlineStr">
        <is>
          <t>BR Level</t>
        </is>
      </c>
    </row>
    <row r="8">
      <c r="A8" s="13" t="inlineStr">
        <is>
          <t>X</t>
        </is>
      </c>
      <c r="B8" s="13" t="inlineStr">
        <is>
          <t>Disclosure</t>
        </is>
      </c>
      <c r="C8" s="13">
        <f>Scoring_Results!J10</f>
        <v/>
      </c>
      <c r="D8" s="13">
        <f>Scoring_Results!K10</f>
        <v/>
      </c>
      <c r="E8" s="21">
        <f>IF(C8="","",REPT("|",MIN(INT(C8/5),23)))</f>
        <v/>
      </c>
    </row>
    <row r="9">
      <c r="A9" s="13" t="inlineStr">
        <is>
          <t>Y</t>
        </is>
      </c>
      <c r="B9" s="13" t="inlineStr">
        <is>
          <t>Desirability</t>
        </is>
      </c>
      <c r="C9" s="13">
        <f>Scoring_Results!J11</f>
        <v/>
      </c>
      <c r="D9" s="13">
        <f>Scoring_Results!K11</f>
        <v/>
      </c>
      <c r="E9" s="21">
        <f>IF(C9="","",REPT("|",MIN(INT(C9/5),23)))</f>
        <v/>
      </c>
    </row>
    <row r="10">
      <c r="A10" s="13" t="inlineStr">
        <is>
          <t>Z</t>
        </is>
      </c>
      <c r="B10" s="13" t="inlineStr">
        <is>
          <t>Debasement</t>
        </is>
      </c>
      <c r="C10" s="13">
        <f>Scoring_Results!J12</f>
        <v/>
      </c>
      <c r="D10" s="13">
        <f>Scoring_Results!K12</f>
        <v/>
      </c>
      <c r="E10" s="21">
        <f>IF(C10="","",REPT("|",MIN(INT(C10/5),23)))</f>
        <v/>
      </c>
    </row>
    <row r="11">
      <c r="A11" s="13" t="inlineStr">
        <is>
          <t>1</t>
        </is>
      </c>
      <c r="B11" s="13" t="inlineStr">
        <is>
          <t>Schizoid</t>
        </is>
      </c>
      <c r="C11" s="13">
        <f>Scoring_Results!J13</f>
        <v/>
      </c>
      <c r="D11" s="13">
        <f>Scoring_Results!K13</f>
        <v/>
      </c>
      <c r="E11" s="21">
        <f>IF(C11="","",REPT("|",MIN(INT(C11/5),23)))</f>
        <v/>
      </c>
    </row>
    <row r="12">
      <c r="A12" s="13" t="inlineStr">
        <is>
          <t>2A</t>
        </is>
      </c>
      <c r="B12" s="13" t="inlineStr">
        <is>
          <t>Avoidant</t>
        </is>
      </c>
      <c r="C12" s="13">
        <f>Scoring_Results!J14</f>
        <v/>
      </c>
      <c r="D12" s="13">
        <f>Scoring_Results!K14</f>
        <v/>
      </c>
      <c r="E12" s="21">
        <f>IF(C12="","",REPT("|",MIN(INT(C12/5),23)))</f>
        <v/>
      </c>
    </row>
    <row r="13">
      <c r="A13" s="13" t="inlineStr">
        <is>
          <t>2B</t>
        </is>
      </c>
      <c r="B13" s="13" t="inlineStr">
        <is>
          <t>Depressive</t>
        </is>
      </c>
      <c r="C13" s="13">
        <f>Scoring_Results!J15</f>
        <v/>
      </c>
      <c r="D13" s="13">
        <f>Scoring_Results!K15</f>
        <v/>
      </c>
      <c r="E13" s="21">
        <f>IF(C13="","",REPT("|",MIN(INT(C13/5),23)))</f>
        <v/>
      </c>
    </row>
    <row r="14">
      <c r="A14" s="13" t="inlineStr">
        <is>
          <t>3</t>
        </is>
      </c>
      <c r="B14" s="13" t="inlineStr">
        <is>
          <t>Dependent</t>
        </is>
      </c>
      <c r="C14" s="13">
        <f>Scoring_Results!J16</f>
        <v/>
      </c>
      <c r="D14" s="13">
        <f>Scoring_Results!K16</f>
        <v/>
      </c>
      <c r="E14" s="21">
        <f>IF(C14="","",REPT("|",MIN(INT(C14/5),23)))</f>
        <v/>
      </c>
    </row>
    <row r="15">
      <c r="A15" s="13" t="inlineStr">
        <is>
          <t>4</t>
        </is>
      </c>
      <c r="B15" s="13" t="inlineStr">
        <is>
          <t>Histrionic</t>
        </is>
      </c>
      <c r="C15" s="13">
        <f>Scoring_Results!J17</f>
        <v/>
      </c>
      <c r="D15" s="13">
        <f>Scoring_Results!K17</f>
        <v/>
      </c>
      <c r="E15" s="21">
        <f>IF(C15="","",REPT("|",MIN(INT(C15/5),23)))</f>
        <v/>
      </c>
    </row>
    <row r="16">
      <c r="A16" s="13" t="inlineStr">
        <is>
          <t>5</t>
        </is>
      </c>
      <c r="B16" s="13" t="inlineStr">
        <is>
          <t>Narcissistic</t>
        </is>
      </c>
      <c r="C16" s="13">
        <f>Scoring_Results!J18</f>
        <v/>
      </c>
      <c r="D16" s="13">
        <f>Scoring_Results!K18</f>
        <v/>
      </c>
      <c r="E16" s="21">
        <f>IF(C16="","",REPT("|",MIN(INT(C16/5),23)))</f>
        <v/>
      </c>
    </row>
    <row r="17">
      <c r="A17" s="13" t="inlineStr">
        <is>
          <t>6A</t>
        </is>
      </c>
      <c r="B17" s="13" t="inlineStr">
        <is>
          <t>Antisocial</t>
        </is>
      </c>
      <c r="C17" s="13">
        <f>Scoring_Results!J19</f>
        <v/>
      </c>
      <c r="D17" s="13">
        <f>Scoring_Results!K19</f>
        <v/>
      </c>
      <c r="E17" s="21">
        <f>IF(C17="","",REPT("|",MIN(INT(C17/5),23)))</f>
        <v/>
      </c>
    </row>
    <row r="18">
      <c r="A18" s="13" t="inlineStr">
        <is>
          <t>6B</t>
        </is>
      </c>
      <c r="B18" s="13" t="inlineStr">
        <is>
          <t>Sadistic (Aggressive)</t>
        </is>
      </c>
      <c r="C18" s="13">
        <f>Scoring_Results!J20</f>
        <v/>
      </c>
      <c r="D18" s="13">
        <f>Scoring_Results!K20</f>
        <v/>
      </c>
      <c r="E18" s="21">
        <f>IF(C18="","",REPT("|",MIN(INT(C18/5),23)))</f>
        <v/>
      </c>
    </row>
    <row r="19">
      <c r="A19" s="13" t="inlineStr">
        <is>
          <t>7</t>
        </is>
      </c>
      <c r="B19" s="13" t="inlineStr">
        <is>
          <t>Compulsive</t>
        </is>
      </c>
      <c r="C19" s="13">
        <f>Scoring_Results!J21</f>
        <v/>
      </c>
      <c r="D19" s="13">
        <f>Scoring_Results!K21</f>
        <v/>
      </c>
      <c r="E19" s="21">
        <f>IF(C19="","",REPT("|",MIN(INT(C19/5),23)))</f>
        <v/>
      </c>
    </row>
    <row r="20">
      <c r="A20" s="13" t="inlineStr">
        <is>
          <t>8A</t>
        </is>
      </c>
      <c r="B20" s="13" t="inlineStr">
        <is>
          <t>Negativistic (Passive-Aggressive)</t>
        </is>
      </c>
      <c r="C20" s="13">
        <f>Scoring_Results!J22</f>
        <v/>
      </c>
      <c r="D20" s="13">
        <f>Scoring_Results!K22</f>
        <v/>
      </c>
      <c r="E20" s="21">
        <f>IF(C20="","",REPT("|",MIN(INT(C20/5),23)))</f>
        <v/>
      </c>
    </row>
    <row r="21">
      <c r="A21" s="13" t="inlineStr">
        <is>
          <t>8B</t>
        </is>
      </c>
      <c r="B21" s="13" t="inlineStr">
        <is>
          <t>Masochistic (Self-Defeating)</t>
        </is>
      </c>
      <c r="C21" s="13">
        <f>Scoring_Results!J23</f>
        <v/>
      </c>
      <c r="D21" s="13">
        <f>Scoring_Results!K23</f>
        <v/>
      </c>
      <c r="E21" s="21">
        <f>IF(C21="","",REPT("|",MIN(INT(C21/5),23)))</f>
        <v/>
      </c>
    </row>
    <row r="22">
      <c r="A22" s="13" t="inlineStr">
        <is>
          <t>S</t>
        </is>
      </c>
      <c r="B22" s="13" t="inlineStr">
        <is>
          <t>Schizotypal</t>
        </is>
      </c>
      <c r="C22" s="13">
        <f>Scoring_Results!J24</f>
        <v/>
      </c>
      <c r="D22" s="13">
        <f>Scoring_Results!K24</f>
        <v/>
      </c>
      <c r="E22" s="21">
        <f>IF(C22="","",REPT("|",MIN(INT(C22/5),23)))</f>
        <v/>
      </c>
    </row>
    <row r="23">
      <c r="A23" s="13" t="inlineStr">
        <is>
          <t>C</t>
        </is>
      </c>
      <c r="B23" s="13" t="inlineStr">
        <is>
          <t>Borderline</t>
        </is>
      </c>
      <c r="C23" s="13">
        <f>Scoring_Results!J25</f>
        <v/>
      </c>
      <c r="D23" s="13">
        <f>Scoring_Results!K25</f>
        <v/>
      </c>
      <c r="E23" s="21">
        <f>IF(C23="","",REPT("|",MIN(INT(C23/5),23)))</f>
        <v/>
      </c>
    </row>
    <row r="24">
      <c r="A24" s="13" t="inlineStr">
        <is>
          <t>P</t>
        </is>
      </c>
      <c r="B24" s="13" t="inlineStr">
        <is>
          <t>Paranoid</t>
        </is>
      </c>
      <c r="C24" s="13">
        <f>Scoring_Results!J26</f>
        <v/>
      </c>
      <c r="D24" s="13">
        <f>Scoring_Results!K26</f>
        <v/>
      </c>
      <c r="E24" s="21">
        <f>IF(C24="","",REPT("|",MIN(INT(C24/5),23)))</f>
        <v/>
      </c>
    </row>
    <row r="25">
      <c r="A25" s="13" t="inlineStr">
        <is>
          <t>A</t>
        </is>
      </c>
      <c r="B25" s="13" t="inlineStr">
        <is>
          <t>Anxiety</t>
        </is>
      </c>
      <c r="C25" s="13">
        <f>Scoring_Results!J27</f>
        <v/>
      </c>
      <c r="D25" s="13">
        <f>Scoring_Results!K27</f>
        <v/>
      </c>
      <c r="E25" s="21">
        <f>IF(C25="","",REPT("|",MIN(INT(C25/5),23)))</f>
        <v/>
      </c>
    </row>
    <row r="26">
      <c r="A26" s="13" t="inlineStr">
        <is>
          <t>H</t>
        </is>
      </c>
      <c r="B26" s="13" t="inlineStr">
        <is>
          <t>Somatoform</t>
        </is>
      </c>
      <c r="C26" s="13">
        <f>Scoring_Results!J28</f>
        <v/>
      </c>
      <c r="D26" s="13">
        <f>Scoring_Results!K28</f>
        <v/>
      </c>
      <c r="E26" s="21">
        <f>IF(C26="","",REPT("|",MIN(INT(C26/5),23)))</f>
        <v/>
      </c>
    </row>
    <row r="27">
      <c r="A27" s="13" t="inlineStr">
        <is>
          <t>N</t>
        </is>
      </c>
      <c r="B27" s="13" t="inlineStr">
        <is>
          <t>Bipolar: Manic</t>
        </is>
      </c>
      <c r="C27" s="13">
        <f>Scoring_Results!J29</f>
        <v/>
      </c>
      <c r="D27" s="13">
        <f>Scoring_Results!K29</f>
        <v/>
      </c>
      <c r="E27" s="21">
        <f>IF(C27="","",REPT("|",MIN(INT(C27/5),23)))</f>
        <v/>
      </c>
    </row>
    <row r="28">
      <c r="A28" s="13" t="inlineStr">
        <is>
          <t>D</t>
        </is>
      </c>
      <c r="B28" s="13" t="inlineStr">
        <is>
          <t>Dysthymia</t>
        </is>
      </c>
      <c r="C28" s="13">
        <f>Scoring_Results!J30</f>
        <v/>
      </c>
      <c r="D28" s="13">
        <f>Scoring_Results!K30</f>
        <v/>
      </c>
      <c r="E28" s="21">
        <f>IF(C28="","",REPT("|",MIN(INT(C28/5),23)))</f>
        <v/>
      </c>
    </row>
    <row r="29">
      <c r="A29" s="13" t="inlineStr">
        <is>
          <t>B</t>
        </is>
      </c>
      <c r="B29" s="13" t="inlineStr">
        <is>
          <t>Alcohol Dependence</t>
        </is>
      </c>
      <c r="C29" s="13">
        <f>Scoring_Results!J31</f>
        <v/>
      </c>
      <c r="D29" s="13">
        <f>Scoring_Results!K31</f>
        <v/>
      </c>
      <c r="E29" s="21">
        <f>IF(C29="","",REPT("|",MIN(INT(C29/5),23)))</f>
        <v/>
      </c>
    </row>
    <row r="30">
      <c r="A30" s="13" t="inlineStr">
        <is>
          <t>T</t>
        </is>
      </c>
      <c r="B30" s="13" t="inlineStr">
        <is>
          <t>Drug Dependence</t>
        </is>
      </c>
      <c r="C30" s="13">
        <f>Scoring_Results!J32</f>
        <v/>
      </c>
      <c r="D30" s="13">
        <f>Scoring_Results!K32</f>
        <v/>
      </c>
      <c r="E30" s="21">
        <f>IF(C30="","",REPT("|",MIN(INT(C30/5),23)))</f>
        <v/>
      </c>
    </row>
    <row r="31">
      <c r="A31" s="13" t="inlineStr">
        <is>
          <t>R</t>
        </is>
      </c>
      <c r="B31" s="13" t="inlineStr">
        <is>
          <t>PTSD</t>
        </is>
      </c>
      <c r="C31" s="13">
        <f>Scoring_Results!J33</f>
        <v/>
      </c>
      <c r="D31" s="13">
        <f>Scoring_Results!K33</f>
        <v/>
      </c>
      <c r="E31" s="21">
        <f>IF(C31="","",REPT("|",MIN(INT(C31/5),23)))</f>
        <v/>
      </c>
    </row>
    <row r="32">
      <c r="A32" s="13" t="inlineStr">
        <is>
          <t>SS</t>
        </is>
      </c>
      <c r="B32" s="13" t="inlineStr">
        <is>
          <t>Thought Disorder</t>
        </is>
      </c>
      <c r="C32" s="13">
        <f>Scoring_Results!J34</f>
        <v/>
      </c>
      <c r="D32" s="13">
        <f>Scoring_Results!K34</f>
        <v/>
      </c>
      <c r="E32" s="21">
        <f>IF(C32="","",REPT("|",MIN(INT(C32/5),23)))</f>
        <v/>
      </c>
    </row>
    <row r="33">
      <c r="A33" s="13" t="inlineStr">
        <is>
          <t>CC</t>
        </is>
      </c>
      <c r="B33" s="13" t="inlineStr">
        <is>
          <t>Major Depression</t>
        </is>
      </c>
      <c r="C33" s="13">
        <f>Scoring_Results!J35</f>
        <v/>
      </c>
      <c r="D33" s="13">
        <f>Scoring_Results!K35</f>
        <v/>
      </c>
      <c r="E33" s="21">
        <f>IF(C33="","",REPT("|",MIN(INT(C33/5),23)))</f>
        <v/>
      </c>
    </row>
    <row r="34">
      <c r="A34" s="13" t="inlineStr">
        <is>
          <t>PP</t>
        </is>
      </c>
      <c r="B34" s="13" t="inlineStr">
        <is>
          <t>Delusional Disorder</t>
        </is>
      </c>
      <c r="C34" s="13">
        <f>Scoring_Results!J36</f>
        <v/>
      </c>
      <c r="D34" s="13">
        <f>Scoring_Results!K36</f>
        <v/>
      </c>
      <c r="E34" s="21">
        <f>IF(C34="","",REPT("|",MIN(INT(C34/5),23)))</f>
        <v/>
      </c>
    </row>
    <row r="37">
      <c r="A37" s="2" t="inlineStr">
        <is>
          <t>INTERPRETATION KEY:</t>
        </is>
      </c>
    </row>
    <row r="38">
      <c r="A38" s="22" t="inlineStr">
        <is>
          <t>BR 85-115</t>
        </is>
      </c>
      <c r="B38" t="inlineStr">
        <is>
          <t>PROMINENT / PATHOLOGICAL (Disorder present)</t>
        </is>
      </c>
    </row>
    <row r="39">
      <c r="A39" s="23" t="inlineStr">
        <is>
          <t>BR 75-84</t>
        </is>
      </c>
      <c r="B39" t="inlineStr">
        <is>
          <t>PRESENT / TRAIT LEVEL (Clinically significant)</t>
        </is>
      </c>
    </row>
    <row r="40">
      <c r="A40" t="inlineStr">
        <is>
          <t>BR 60-74</t>
        </is>
      </c>
      <c r="B40" t="inlineStr">
        <is>
          <t>Suggestive (Subclinical features)</t>
        </is>
      </c>
    </row>
    <row r="41">
      <c r="A41" s="8" t="inlineStr">
        <is>
          <t>BR 0-59</t>
        </is>
      </c>
      <c r="B41" t="inlineStr">
        <is>
          <t>Normal / Not Significant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70" customWidth="1" min="1" max="1"/>
    <col width="25" customWidth="1" min="2" max="2"/>
    <col width="30" customWidth="1" min="3" max="3"/>
    <col width="25" customWidth="1" min="4" max="4"/>
  </cols>
  <sheetData>
    <row r="1">
      <c r="A1" s="1" t="inlineStr">
        <is>
          <t>MCMI-III BR SCORE INTERPRETATION GUIDE</t>
        </is>
      </c>
    </row>
    <row r="3">
      <c r="A3" s="17" t="inlineStr">
        <is>
          <t>BR Score Range</t>
        </is>
      </c>
      <c r="B3" s="17" t="inlineStr">
        <is>
          <t>Classification</t>
        </is>
      </c>
      <c r="C3" s="17" t="inlineStr">
        <is>
          <t>Clinical Meaning</t>
        </is>
      </c>
      <c r="D3" s="17" t="inlineStr">
        <is>
          <t>Action</t>
        </is>
      </c>
    </row>
    <row r="4">
      <c r="A4" s="13" t="inlineStr">
        <is>
          <t>0-34</t>
        </is>
      </c>
      <c r="B4" s="13" t="inlineStr">
        <is>
          <t>Not Significant</t>
        </is>
      </c>
      <c r="C4" s="13" t="inlineStr">
        <is>
          <t>Trait not present</t>
        </is>
      </c>
      <c r="D4" s="13" t="inlineStr">
        <is>
          <t>No concern</t>
        </is>
      </c>
    </row>
    <row r="5">
      <c r="A5" s="13" t="inlineStr">
        <is>
          <t>35-59</t>
        </is>
      </c>
      <c r="B5" s="13" t="inlineStr">
        <is>
          <t>Normal Range</t>
        </is>
      </c>
      <c r="C5" s="13" t="inlineStr">
        <is>
          <t>Within normal limits</t>
        </is>
      </c>
      <c r="D5" s="13" t="inlineStr">
        <is>
          <t>No concern</t>
        </is>
      </c>
    </row>
    <row r="6">
      <c r="A6" s="13" t="inlineStr">
        <is>
          <t>60-74</t>
        </is>
      </c>
      <c r="B6" s="13" t="inlineStr">
        <is>
          <t>Suggestive</t>
        </is>
      </c>
      <c r="C6" s="13" t="inlineStr">
        <is>
          <t>Mild features; subclinical</t>
        </is>
      </c>
      <c r="D6" s="13" t="inlineStr">
        <is>
          <t>Monitor</t>
        </is>
      </c>
    </row>
    <row r="7">
      <c r="A7" s="13" t="inlineStr">
        <is>
          <t>75-84</t>
        </is>
      </c>
      <c r="B7" s="13" t="inlineStr">
        <is>
          <t>Trait Level / Present</t>
        </is>
      </c>
      <c r="C7" s="13" t="inlineStr">
        <is>
          <t>Clinically significant features</t>
        </is>
      </c>
      <c r="D7" s="13" t="inlineStr">
        <is>
          <t>Include in report</t>
        </is>
      </c>
    </row>
    <row r="8">
      <c r="A8" s="13" t="inlineStr">
        <is>
          <t>85-115</t>
        </is>
      </c>
      <c r="B8" s="13" t="inlineStr">
        <is>
          <t>Pathological / Disorder</t>
        </is>
      </c>
      <c r="C8" s="13" t="inlineStr">
        <is>
          <t>Prominent disorder present</t>
        </is>
      </c>
      <c r="D8" s="13" t="inlineStr">
        <is>
          <t>Primary focus in report</t>
        </is>
      </c>
    </row>
    <row r="11">
      <c r="A11" s="2" t="inlineStr">
        <is>
          <t>VALIDITY CRITERIA</t>
        </is>
      </c>
    </row>
    <row r="12">
      <c r="A12" t="inlineStr">
        <is>
          <t>Scale V (Invalidity): &gt; 1 = INVALID protocol</t>
        </is>
      </c>
    </row>
    <row r="13">
      <c r="A13" t="inlineStr">
        <is>
          <t>Scale X (Disclosure): Raw &lt; 34 or &gt; 178 = INVALID</t>
        </is>
      </c>
    </row>
    <row r="14">
      <c r="A14" t="inlineStr">
        <is>
          <t>Omissions: &gt; 11 items omitted = INVALID</t>
        </is>
      </c>
    </row>
    <row r="15">
      <c r="A15" t="inlineStr">
        <is>
          <t>Scale W (Inconsistency): &gt; 12 = Consider random responding</t>
        </is>
      </c>
    </row>
    <row r="17">
      <c r="A17" s="2" t="inlineStr">
        <is>
          <t>ADJUSTMENT RULES</t>
        </is>
      </c>
    </row>
    <row r="18">
      <c r="A18" t="inlineStr">
        <is>
          <t>1. Disclosure Adjustment: Based on Scale X raw score (see Disclosure_Table sheet)</t>
        </is>
      </c>
    </row>
    <row r="19">
      <c r="A19" t="inlineStr">
        <is>
          <t xml:space="preserve">   - Scales 1-8B use '1-8B Adjustment' column</t>
        </is>
      </c>
    </row>
    <row r="20">
      <c r="A20" t="inlineStr">
        <is>
          <t xml:space="preserve">   - Scales S-PP use 'S-PP Adjustment' column</t>
        </is>
      </c>
    </row>
    <row r="21">
      <c r="A21" t="inlineStr">
        <is>
          <t>2. Anxiety/Depression (A/D) Adjustment:</t>
        </is>
      </c>
    </row>
    <row r="22">
      <c r="A22" t="inlineStr">
        <is>
          <t xml:space="preserve">   - Only applies to scales 2A, 2B, 8B, S, C</t>
        </is>
      </c>
    </row>
    <row r="23">
      <c r="A23" t="inlineStr">
        <is>
          <t xml:space="preserve">   - Based on adjusted BR scores of Anxiety (A) and Dysthymia (D)</t>
        </is>
      </c>
    </row>
    <row r="24">
      <c r="A24" t="inlineStr">
        <is>
          <t xml:space="preserve">   - Only activates when A or D adjusted BR &gt;= 75</t>
        </is>
      </c>
    </row>
    <row r="25">
      <c r="A25" t="inlineStr">
        <is>
          <t>3. Inpatient Adjustment:</t>
        </is>
      </c>
    </row>
    <row r="26">
      <c r="A26" t="inlineStr">
        <is>
          <t xml:space="preserve">   - SS: +6 (&lt;1wk), +4 (1-4wk), 0 (&gt;4wk)</t>
        </is>
      </c>
    </row>
    <row r="27">
      <c r="A27" t="inlineStr">
        <is>
          <t xml:space="preserve">   - CC: +10 (&lt;1wk), +8 (1-4wk), 0 (&gt;4wk)</t>
        </is>
      </c>
    </row>
    <row r="28">
      <c r="A28" t="inlineStr">
        <is>
          <t xml:space="preserve">   - PP: +4 (&lt;1wk), +2 (1-4wk), 0 (&gt;4wk)</t>
        </is>
      </c>
    </row>
    <row r="29">
      <c r="A29" t="inlineStr">
        <is>
          <t>4. Denial/Complaint Adjustment:</t>
        </is>
      </c>
    </row>
    <row r="30">
      <c r="A30" t="inlineStr">
        <is>
          <t xml:space="preserve">   - If highest personality scale (1-8B) is 4, 5, or 7: add 8 to that scale</t>
        </is>
      </c>
    </row>
    <row r="31">
      <c r="A31" t="inlineStr">
        <is>
          <t xml:space="preserve">   - Otherwise: no adjustment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MCMI-III SCORING TOOL - INSTRUCTIONS</t>
        </is>
      </c>
    </row>
    <row r="2">
      <c r="A2" t="inlineStr"/>
    </row>
    <row r="3">
      <c r="A3" t="inlineStr">
        <is>
          <t>HOW TO USE THIS SCORING TOOL:</t>
        </is>
      </c>
    </row>
    <row r="4">
      <c r="A4" t="inlineStr"/>
    </row>
    <row r="5">
      <c r="A5" t="inlineStr">
        <is>
          <t>STEP 1: ENTER ITEM RESPONSES</t>
        </is>
      </c>
    </row>
    <row r="6">
      <c r="A6" t="inlineStr">
        <is>
          <t xml:space="preserve">  - Go to 'Item_Responses' sheet</t>
        </is>
      </c>
    </row>
    <row r="7">
      <c r="A7" t="inlineStr">
        <is>
          <t xml:space="preserve">  - Enter patient demographics at the top</t>
        </is>
      </c>
    </row>
    <row r="8">
      <c r="A8" t="inlineStr">
        <is>
          <t xml:space="preserve">  - Enter Y or N for Inpatient status</t>
        </is>
      </c>
    </row>
    <row r="9">
      <c r="A9" t="inlineStr">
        <is>
          <t xml:space="preserve">  - Enter Axis I duration in weeks</t>
        </is>
      </c>
    </row>
    <row r="10">
      <c r="A10" t="inlineStr">
        <is>
          <t xml:space="preserve">  - For each of 175 items, enter 1 (TRUE) or 0 (FALSE)</t>
        </is>
      </c>
    </row>
    <row r="11">
      <c r="A11" t="inlineStr"/>
    </row>
    <row r="12">
      <c r="A12" t="inlineStr">
        <is>
          <t>STEP 2: RAW SCORES (AUTOMATIC)</t>
        </is>
      </c>
    </row>
    <row r="13">
      <c r="A13" t="inlineStr">
        <is>
          <t xml:space="preserve">  - Go to 'Raw_Scores' sheet</t>
        </is>
      </c>
    </row>
    <row r="14">
      <c r="A14" t="inlineStr">
        <is>
          <t xml:space="preserve">  - All raw scores are calculated automatically from your item responses</t>
        </is>
      </c>
    </row>
    <row r="15">
      <c r="A15" t="inlineStr">
        <is>
          <t xml:space="preserve">  - Scale 5 (Narcissistic) raw score is automatically multiplied by 2/3</t>
        </is>
      </c>
    </row>
    <row r="16">
      <c r="A16" t="inlineStr">
        <is>
          <t xml:space="preserve">  - Verify against hand-scoring if desired</t>
        </is>
      </c>
    </row>
    <row r="17">
      <c r="A17" t="inlineStr"/>
    </row>
    <row r="18">
      <c r="A18" t="inlineStr">
        <is>
          <t>STEP 3: ENTER INITIAL BR SCORES</t>
        </is>
      </c>
    </row>
    <row r="19">
      <c r="A19" t="inlineStr">
        <is>
          <t xml:space="preserve">  - Go to 'Scoring_Results' sheet</t>
        </is>
      </c>
    </row>
    <row r="20">
      <c r="A20" t="inlineStr">
        <is>
          <t xml:space="preserve">  - Look up each raw score in Appendix C of the MCMI-III Manual</t>
        </is>
      </c>
    </row>
    <row r="21">
      <c r="A21" t="inlineStr">
        <is>
          <t xml:space="preserve">  - Enter the corresponding BR score in the yellow 'Initial BR' column (E)</t>
        </is>
      </c>
    </row>
    <row r="22">
      <c r="A22" t="inlineStr">
        <is>
          <t xml:space="preserve">  - Raw scores are already displayed for your reference</t>
        </is>
      </c>
    </row>
    <row r="23">
      <c r="A23" t="inlineStr"/>
    </row>
    <row r="24">
      <c r="A24" t="inlineStr">
        <is>
          <t>STEP 4: REVIEW ADJUSTMENTS (AUTOMATIC)</t>
        </is>
      </c>
    </row>
    <row r="25">
      <c r="A25" t="inlineStr">
        <is>
          <t xml:space="preserve">  - Disclosure Adjustment: auto-calculated from Scale X raw score</t>
        </is>
      </c>
    </row>
    <row r="26">
      <c r="A26" t="inlineStr">
        <is>
          <t xml:space="preserve">  - A/D Adjustment: auto-calculated for scales 2A, 2B, 8B, S, C</t>
        </is>
      </c>
    </row>
    <row r="27">
      <c r="A27" t="inlineStr">
        <is>
          <t xml:space="preserve">  - Inpatient Adjustment: auto-calculated from patient setting info</t>
        </is>
      </c>
    </row>
    <row r="28">
      <c r="A28" t="inlineStr"/>
    </row>
    <row r="29">
      <c r="A29" t="inlineStr">
        <is>
          <t>STEP 5: DENIAL/COMPLAINT ADJUSTMENT (MANUAL)</t>
        </is>
      </c>
    </row>
    <row r="30">
      <c r="A30" t="inlineStr">
        <is>
          <t xml:space="preserve">  - Look at the Final BR scores for personality scales 1-8B</t>
        </is>
      </c>
    </row>
    <row r="31">
      <c r="A31" t="inlineStr">
        <is>
          <t xml:space="preserve">  - If the HIGHEST is Scale 4, 5, or 7: enter 8 in column I for that scale</t>
        </is>
      </c>
    </row>
    <row r="32">
      <c r="A32" t="inlineStr">
        <is>
          <t xml:space="preserve">  - Otherwise: leave at 0</t>
        </is>
      </c>
    </row>
    <row r="33">
      <c r="A33" t="inlineStr"/>
    </row>
    <row r="34">
      <c r="A34" t="inlineStr">
        <is>
          <t>STEP 6: READ FINAL RESULTS</t>
        </is>
      </c>
    </row>
    <row r="35">
      <c r="A35" t="inlineStr">
        <is>
          <t xml:space="preserve">  - 'Scoring_Results' sheet: Final BR + Clinical Significance</t>
        </is>
      </c>
    </row>
    <row r="36">
      <c r="A36" t="inlineStr">
        <is>
          <t xml:space="preserve">  - 'Profile_Summary' sheet: Complete profile overview</t>
        </is>
      </c>
    </row>
    <row r="37">
      <c r="A37" t="inlineStr">
        <is>
          <t xml:space="preserve">  - 'Grossman_Facets' sheet: Detailed facet-level analysis</t>
        </is>
      </c>
    </row>
    <row r="38">
      <c r="A38" t="inlineStr">
        <is>
          <t xml:space="preserve">  - 'Inconsistency_W' sheet: Check response consistency</t>
        </is>
      </c>
    </row>
    <row r="39">
      <c r="A39" t="inlineStr"/>
    </row>
    <row r="40">
      <c r="A40" t="inlineStr">
        <is>
          <t>VALIDITY CHECKS:</t>
        </is>
      </c>
    </row>
    <row r="41">
      <c r="A41" t="inlineStr">
        <is>
          <t xml:space="preserve">  - V Score &gt; 1: INVALID protocol</t>
        </is>
      </c>
    </row>
    <row r="42">
      <c r="A42" t="inlineStr">
        <is>
          <t xml:space="preserve">  - Scale X Raw &lt; 34 or &gt; 178: INVALID protocol</t>
        </is>
      </c>
    </row>
    <row r="43">
      <c r="A43" t="inlineStr">
        <is>
          <t xml:space="preserve">  - W Score &gt; 12: Possible random responding</t>
        </is>
      </c>
    </row>
    <row r="44">
      <c r="A44" t="inlineStr"/>
    </row>
    <row r="45">
      <c r="A45" t="inlineStr">
        <is>
          <t>NOTES:</t>
        </is>
      </c>
    </row>
    <row r="46">
      <c r="A46" t="inlineStr">
        <is>
          <t xml:space="preserve">  - Yellow cells = user input required</t>
        </is>
      </c>
    </row>
    <row r="47">
      <c r="A47" t="inlineStr">
        <is>
          <t xml:space="preserve">  - Green cells = auto-calculated</t>
        </is>
      </c>
    </row>
    <row r="48">
      <c r="A48" t="inlineStr">
        <is>
          <t xml:space="preserve">  - Grey cells = locked/reference values</t>
        </is>
      </c>
    </row>
    <row r="49">
      <c r="A49" t="inlineStr">
        <is>
          <t xml:space="preserve">  - BR scores are clamped between 0 and 115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2026-07-22T10:04:55Z</dcterms:created>
  <dcterms:modified xsi:type="dcterms:W3CDTF">2026-07-22T10:04:55Z</dcterms:modified>
</cp:coreProperties>
</file>