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Information" sheetId="1" state="visible" r:id="rId1"/>
    <sheet name="Raw Score Entry" sheetId="2" state="visible" r:id="rId2"/>
    <sheet name="BR Scores &amp; Interpretation" sheetId="3" state="visible" r:id="rId3"/>
    <sheet name="Profile Summary" sheetId="4" state="visible" r:id="rId4"/>
    <sheet name="Clinical Report" sheetId="5" state="visible" r:id="rId5"/>
    <sheet name="Item Response Entry" sheetId="6" state="visible" r:id="rId6"/>
    <sheet name="Scoring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4472C4"/>
      <sz val="12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1F4E79"/>
      <sz val="14"/>
    </font>
    <font>
      <name val="Calibri"/>
      <i val="1"/>
      <sz val="9"/>
    </font>
    <font>
      <name val="Calibri"/>
      <color rgb="002E75B6"/>
      <sz val="8"/>
    </font>
  </fonts>
  <fills count="8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3" fillId="5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9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99FF99"/>
          <bgColor rgb="0099FF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50" customWidth="1" min="3" max="3"/>
    <col width="22" customWidth="1" min="4" max="4"/>
    <col width="25" customWidth="1" min="5" max="5"/>
    <col width="20" customWidth="1" min="6" max="6"/>
  </cols>
  <sheetData>
    <row r="1">
      <c r="A1" s="1" t="inlineStr">
        <is>
          <t>MCMI-III SCORING SOFTWARE</t>
        </is>
      </c>
    </row>
    <row r="2">
      <c r="A2" s="2" t="inlineStr">
        <is>
          <t>Millon Clinical Multiaxial Inventory - Third Edition</t>
        </is>
      </c>
    </row>
    <row r="4">
      <c r="A4" s="3" t="inlineStr">
        <is>
          <t>PATIENT DEMOGRAPHICS</t>
        </is>
      </c>
    </row>
    <row r="5">
      <c r="A5" s="4" t="inlineStr">
        <is>
          <t>Patient Name:</t>
        </is>
      </c>
      <c r="B5" s="5" t="n"/>
      <c r="D5" s="4" t="inlineStr">
        <is>
          <t>Case Number:</t>
        </is>
      </c>
      <c r="E5" s="5" t="n"/>
    </row>
    <row r="6">
      <c r="A6" s="4" t="inlineStr">
        <is>
          <t>Age:</t>
        </is>
      </c>
      <c r="B6" s="5" t="n"/>
      <c r="D6" s="4" t="inlineStr">
        <is>
          <t>Date of Testing:</t>
        </is>
      </c>
      <c r="E6" s="5" t="n"/>
    </row>
    <row r="7">
      <c r="A7" s="4" t="inlineStr">
        <is>
          <t>Gender:</t>
        </is>
      </c>
      <c r="B7" s="5" t="n"/>
      <c r="D7" s="4" t="inlineStr">
        <is>
          <t>Referred By:</t>
        </is>
      </c>
      <c r="E7" s="5" t="n"/>
    </row>
    <row r="8">
      <c r="A8" s="4" t="inlineStr">
        <is>
          <t>Date of Birth:</t>
        </is>
      </c>
      <c r="B8" s="5" t="n"/>
      <c r="D8" s="4" t="inlineStr">
        <is>
          <t>Examiner:</t>
        </is>
      </c>
      <c r="E8" s="5" t="n"/>
    </row>
    <row r="9">
      <c r="A9" s="4" t="inlineStr">
        <is>
          <t>Education:</t>
        </is>
      </c>
      <c r="B9" s="5" t="n"/>
      <c r="D9" s="4" t="inlineStr">
        <is>
          <t>Diagnosis (Provisional):</t>
        </is>
      </c>
      <c r="E9" s="5" t="n"/>
    </row>
    <row r="10">
      <c r="A10" s="4" t="inlineStr">
        <is>
          <t>Marital Status:</t>
        </is>
      </c>
      <c r="B10" s="5" t="n"/>
      <c r="D10" s="4" t="inlineStr">
        <is>
          <t>Setting:</t>
        </is>
      </c>
      <c r="E10" s="5" t="n"/>
    </row>
    <row r="11">
      <c r="A11" s="4" t="inlineStr">
        <is>
          <t>Occupation:</t>
        </is>
      </c>
      <c r="B11" s="5" t="n"/>
      <c r="D11" s="4" t="inlineStr">
        <is>
          <t>Reason for Referral:</t>
        </is>
      </c>
      <c r="E11" s="5" t="n"/>
    </row>
    <row r="13">
      <c r="A13" s="3" t="inlineStr">
        <is>
          <t>INSTRUCTIONS</t>
        </is>
      </c>
    </row>
    <row r="14" ht="65" customHeight="1">
      <c r="A14" s="6" t="inlineStr">
        <is>
          <t>1. Fill in Patient Information above.
2. Go to "Raw Score Entry" sheet and enter the raw scores for each scale.
3. Go to "BR Scores &amp; Interpretation" sheet - BR scores and interpretations are auto-calculated.
4. Check "Profile Summary" sheet for visual profile and clinical significance overview.</t>
        </is>
      </c>
    </row>
    <row r="17">
      <c r="A17" s="3" t="inlineStr">
        <is>
          <t>BR SCORE INTERPRETATION GUIDE</t>
        </is>
      </c>
    </row>
    <row r="18">
      <c r="A18" s="7" t="inlineStr">
        <is>
          <t>BR Score Range</t>
        </is>
      </c>
      <c r="B18" s="7" t="inlineStr">
        <is>
          <t>Classification</t>
        </is>
      </c>
      <c r="C18" s="7" t="inlineStr">
        <is>
          <t>Clinical Meaning</t>
        </is>
      </c>
    </row>
    <row r="19">
      <c r="A19" s="8" t="inlineStr">
        <is>
          <t>0 - 34</t>
        </is>
      </c>
      <c r="B19" s="8" t="inlineStr">
        <is>
          <t>Not Significant</t>
        </is>
      </c>
      <c r="C19" s="8" t="inlineStr">
        <is>
          <t>No clinical relevance; trait not present</t>
        </is>
      </c>
    </row>
    <row r="20">
      <c r="A20" s="8" t="inlineStr">
        <is>
          <t>35 - 59</t>
        </is>
      </c>
      <c r="B20" s="8" t="inlineStr">
        <is>
          <t>Normal Range</t>
        </is>
      </c>
      <c r="C20" s="8" t="inlineStr">
        <is>
          <t>Within normal limits; no clinical concern</t>
        </is>
      </c>
    </row>
    <row r="21">
      <c r="A21" s="9" t="inlineStr">
        <is>
          <t>60 - 74</t>
        </is>
      </c>
      <c r="B21" s="9" t="inlineStr">
        <is>
          <t>Suggestive</t>
        </is>
      </c>
      <c r="C21" s="9" t="inlineStr">
        <is>
          <t>Mild features present; monitor clinically</t>
        </is>
      </c>
    </row>
    <row r="22">
      <c r="A22" s="10" t="inlineStr">
        <is>
          <t>75 - 84</t>
        </is>
      </c>
      <c r="B22" s="10" t="inlineStr">
        <is>
          <t>Trait Level / Presence</t>
        </is>
      </c>
      <c r="C22" s="10" t="inlineStr">
        <is>
          <t>Clinically significant trait; syndrome features present</t>
        </is>
      </c>
    </row>
    <row r="23">
      <c r="A23" s="11" t="inlineStr">
        <is>
          <t>85 - 115</t>
        </is>
      </c>
      <c r="B23" s="11" t="inlineStr">
        <is>
          <t>Pathological / Disorder</t>
        </is>
      </c>
      <c r="C23" s="11" t="inlineStr">
        <is>
          <t>Prominent disorder; syndrome confirmed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4" customWidth="1" min="4" max="4"/>
    <col width="14" customWidth="1" min="5" max="5"/>
  </cols>
  <sheetData>
    <row r="1">
      <c r="A1" s="12" t="inlineStr">
        <is>
          <t>MCMI-III RAW SCORE ENTRY</t>
        </is>
      </c>
    </row>
    <row r="2">
      <c r="A2" s="13" t="inlineStr">
        <is>
          <t>Enter the Raw Scores for each scale in the highlighted cells (Column D)</t>
        </is>
      </c>
    </row>
    <row r="4">
      <c r="A4" s="14" t="inlineStr">
        <is>
          <t>Scale Code</t>
        </is>
      </c>
      <c r="B4" s="14" t="inlineStr">
        <is>
          <t>Scale Name</t>
        </is>
      </c>
      <c r="C4" s="14" t="inlineStr">
        <is>
          <t>Category</t>
        </is>
      </c>
      <c r="D4" s="14" t="inlineStr">
        <is>
          <t>Raw Score</t>
        </is>
      </c>
      <c r="E4" s="14" t="inlineStr">
        <is>
          <t>Max Possible</t>
        </is>
      </c>
    </row>
    <row r="5">
      <c r="A5" s="15" t="inlineStr">
        <is>
          <t>MODIFYING INDICES</t>
        </is>
      </c>
    </row>
    <row r="6">
      <c r="A6" s="16" t="inlineStr">
        <is>
          <t>X</t>
        </is>
      </c>
      <c r="B6" s="16" t="inlineStr">
        <is>
          <t>Disclosure</t>
        </is>
      </c>
      <c r="C6" s="16" t="inlineStr">
        <is>
          <t>Modifying Index</t>
        </is>
      </c>
      <c r="D6" s="17" t="n"/>
      <c r="E6" s="18" t="n">
        <v>645</v>
      </c>
    </row>
    <row r="7">
      <c r="A7" s="16" t="inlineStr">
        <is>
          <t>Y</t>
        </is>
      </c>
      <c r="B7" s="16" t="inlineStr">
        <is>
          <t>Desirability</t>
        </is>
      </c>
      <c r="C7" s="16" t="inlineStr">
        <is>
          <t>Modifying Index</t>
        </is>
      </c>
      <c r="D7" s="17" t="n"/>
      <c r="E7" s="18" t="n">
        <v>21</v>
      </c>
    </row>
    <row r="8">
      <c r="A8" s="16" t="inlineStr">
        <is>
          <t>Z</t>
        </is>
      </c>
      <c r="B8" s="16" t="inlineStr">
        <is>
          <t>Debasement</t>
        </is>
      </c>
      <c r="C8" s="16" t="inlineStr">
        <is>
          <t>Modifying Index</t>
        </is>
      </c>
      <c r="D8" s="17" t="n"/>
      <c r="E8" s="18" t="n">
        <v>33</v>
      </c>
    </row>
    <row r="9">
      <c r="A9" s="16" t="inlineStr">
        <is>
          <t>V</t>
        </is>
      </c>
      <c r="B9" s="16" t="inlineStr">
        <is>
          <t>Invalidity</t>
        </is>
      </c>
      <c r="C9" s="16" t="inlineStr">
        <is>
          <t>Modifying Index</t>
        </is>
      </c>
      <c r="D9" s="17" t="n"/>
      <c r="E9" s="18" t="n">
        <v>3</v>
      </c>
    </row>
    <row r="11">
      <c r="A11" s="19" t="inlineStr">
        <is>
          <t>CLINICAL PERSONALITY PATTERNS</t>
        </is>
      </c>
    </row>
    <row r="12">
      <c r="A12" s="16" t="inlineStr">
        <is>
          <t>1</t>
        </is>
      </c>
      <c r="B12" s="16" t="inlineStr">
        <is>
          <t>Schizoid</t>
        </is>
      </c>
      <c r="C12" s="16" t="inlineStr">
        <is>
          <t>Clinical Personality</t>
        </is>
      </c>
      <c r="D12" s="17" t="n"/>
      <c r="E12" s="16" t="inlineStr"/>
    </row>
    <row r="13">
      <c r="A13" s="16" t="inlineStr">
        <is>
          <t>2A</t>
        </is>
      </c>
      <c r="B13" s="16" t="inlineStr">
        <is>
          <t>Avoidant</t>
        </is>
      </c>
      <c r="C13" s="16" t="inlineStr">
        <is>
          <t>Clinical Personality</t>
        </is>
      </c>
      <c r="D13" s="17" t="n"/>
      <c r="E13" s="16" t="inlineStr"/>
    </row>
    <row r="14">
      <c r="A14" s="16" t="inlineStr">
        <is>
          <t>2B</t>
        </is>
      </c>
      <c r="B14" s="16" t="inlineStr">
        <is>
          <t>Depressive</t>
        </is>
      </c>
      <c r="C14" s="16" t="inlineStr">
        <is>
          <t>Clinical Personality</t>
        </is>
      </c>
      <c r="D14" s="17" t="n"/>
      <c r="E14" s="16" t="inlineStr"/>
    </row>
    <row r="15">
      <c r="A15" s="16" t="inlineStr">
        <is>
          <t>3</t>
        </is>
      </c>
      <c r="B15" s="16" t="inlineStr">
        <is>
          <t>Dependent</t>
        </is>
      </c>
      <c r="C15" s="16" t="inlineStr">
        <is>
          <t>Clinical Personality</t>
        </is>
      </c>
      <c r="D15" s="17" t="n"/>
      <c r="E15" s="16" t="inlineStr"/>
    </row>
    <row r="16">
      <c r="A16" s="16" t="inlineStr">
        <is>
          <t>4</t>
        </is>
      </c>
      <c r="B16" s="16" t="inlineStr">
        <is>
          <t>Histrionic</t>
        </is>
      </c>
      <c r="C16" s="16" t="inlineStr">
        <is>
          <t>Clinical Personality</t>
        </is>
      </c>
      <c r="D16" s="17" t="n"/>
      <c r="E16" s="16" t="inlineStr"/>
    </row>
    <row r="17">
      <c r="A17" s="16" t="inlineStr">
        <is>
          <t>5</t>
        </is>
      </c>
      <c r="B17" s="16" t="inlineStr">
        <is>
          <t>Narcissistic</t>
        </is>
      </c>
      <c r="C17" s="16" t="inlineStr">
        <is>
          <t>Clinical Personality</t>
        </is>
      </c>
      <c r="D17" s="17" t="n"/>
      <c r="E17" s="16" t="inlineStr"/>
    </row>
    <row r="18">
      <c r="A18" s="16" t="inlineStr">
        <is>
          <t>6A</t>
        </is>
      </c>
      <c r="B18" s="16" t="inlineStr">
        <is>
          <t>Antisocial</t>
        </is>
      </c>
      <c r="C18" s="16" t="inlineStr">
        <is>
          <t>Clinical Personality</t>
        </is>
      </c>
      <c r="D18" s="17" t="n"/>
      <c r="E18" s="16" t="inlineStr"/>
    </row>
    <row r="19">
      <c r="A19" s="16" t="inlineStr">
        <is>
          <t>6B</t>
        </is>
      </c>
      <c r="B19" s="16" t="inlineStr">
        <is>
          <t>Sadistic (Aggressive)</t>
        </is>
      </c>
      <c r="C19" s="16" t="inlineStr">
        <is>
          <t>Clinical Personality</t>
        </is>
      </c>
      <c r="D19" s="17" t="n"/>
      <c r="E19" s="16" t="inlineStr"/>
    </row>
    <row r="20">
      <c r="A20" s="16" t="inlineStr">
        <is>
          <t>7</t>
        </is>
      </c>
      <c r="B20" s="16" t="inlineStr">
        <is>
          <t>Compulsive</t>
        </is>
      </c>
      <c r="C20" s="16" t="inlineStr">
        <is>
          <t>Clinical Personality</t>
        </is>
      </c>
      <c r="D20" s="17" t="n"/>
      <c r="E20" s="16" t="inlineStr"/>
    </row>
    <row r="21">
      <c r="A21" s="16" t="inlineStr">
        <is>
          <t>8A</t>
        </is>
      </c>
      <c r="B21" s="16" t="inlineStr">
        <is>
          <t>Negativistic (Passive-Aggressive)</t>
        </is>
      </c>
      <c r="C21" s="16" t="inlineStr">
        <is>
          <t>Clinical Personality</t>
        </is>
      </c>
      <c r="D21" s="17" t="n"/>
      <c r="E21" s="16" t="inlineStr"/>
    </row>
    <row r="22">
      <c r="A22" s="16" t="inlineStr">
        <is>
          <t>8B</t>
        </is>
      </c>
      <c r="B22" s="16" t="inlineStr">
        <is>
          <t>Masochistic (Self-Defeating)</t>
        </is>
      </c>
      <c r="C22" s="16" t="inlineStr">
        <is>
          <t>Clinical Personality</t>
        </is>
      </c>
      <c r="D22" s="17" t="n"/>
      <c r="E22" s="16" t="inlineStr"/>
    </row>
    <row r="24">
      <c r="A24" s="20" t="inlineStr">
        <is>
          <t>SEVERE PERSONALITY PATHOLOGY</t>
        </is>
      </c>
    </row>
    <row r="25">
      <c r="A25" s="16" t="inlineStr">
        <is>
          <t>S</t>
        </is>
      </c>
      <c r="B25" s="16" t="inlineStr">
        <is>
          <t>Schizotypal</t>
        </is>
      </c>
      <c r="C25" s="16" t="inlineStr">
        <is>
          <t>Severe Personality</t>
        </is>
      </c>
      <c r="D25" s="17" t="n"/>
      <c r="E25" s="16" t="inlineStr"/>
    </row>
    <row r="26">
      <c r="A26" s="16" t="inlineStr">
        <is>
          <t>C</t>
        </is>
      </c>
      <c r="B26" s="16" t="inlineStr">
        <is>
          <t>Borderline</t>
        </is>
      </c>
      <c r="C26" s="16" t="inlineStr">
        <is>
          <t>Severe Personality</t>
        </is>
      </c>
      <c r="D26" s="17" t="n"/>
      <c r="E26" s="16" t="inlineStr"/>
    </row>
    <row r="27">
      <c r="A27" s="16" t="inlineStr">
        <is>
          <t>P</t>
        </is>
      </c>
      <c r="B27" s="16" t="inlineStr">
        <is>
          <t>Paranoid</t>
        </is>
      </c>
      <c r="C27" s="16" t="inlineStr">
        <is>
          <t>Severe Personality</t>
        </is>
      </c>
      <c r="D27" s="17" t="n"/>
      <c r="E27" s="16" t="inlineStr"/>
    </row>
    <row r="29">
      <c r="A29" s="15" t="inlineStr">
        <is>
          <t>CLINICAL SYNDROMES</t>
        </is>
      </c>
    </row>
    <row r="30">
      <c r="A30" s="16" t="inlineStr">
        <is>
          <t>A</t>
        </is>
      </c>
      <c r="B30" s="16" t="inlineStr">
        <is>
          <t>Anxiety</t>
        </is>
      </c>
      <c r="C30" s="16" t="inlineStr">
        <is>
          <t>Clinical Syndrome</t>
        </is>
      </c>
      <c r="D30" s="17" t="n"/>
      <c r="E30" s="16" t="inlineStr"/>
    </row>
    <row r="31">
      <c r="A31" s="16" t="inlineStr">
        <is>
          <t>H</t>
        </is>
      </c>
      <c r="B31" s="16" t="inlineStr">
        <is>
          <t>Somatoform</t>
        </is>
      </c>
      <c r="C31" s="16" t="inlineStr">
        <is>
          <t>Clinical Syndrome</t>
        </is>
      </c>
      <c r="D31" s="17" t="n"/>
      <c r="E31" s="16" t="inlineStr"/>
    </row>
    <row r="32">
      <c r="A32" s="16" t="inlineStr">
        <is>
          <t>N</t>
        </is>
      </c>
      <c r="B32" s="16" t="inlineStr">
        <is>
          <t>Bipolar: Manic</t>
        </is>
      </c>
      <c r="C32" s="16" t="inlineStr">
        <is>
          <t>Clinical Syndrome</t>
        </is>
      </c>
      <c r="D32" s="17" t="n"/>
      <c r="E32" s="16" t="inlineStr"/>
    </row>
    <row r="33">
      <c r="A33" s="16" t="inlineStr">
        <is>
          <t>D</t>
        </is>
      </c>
      <c r="B33" s="16" t="inlineStr">
        <is>
          <t>Dysthymia</t>
        </is>
      </c>
      <c r="C33" s="16" t="inlineStr">
        <is>
          <t>Clinical Syndrome</t>
        </is>
      </c>
      <c r="D33" s="17" t="n"/>
      <c r="E33" s="16" t="inlineStr"/>
    </row>
    <row r="34">
      <c r="A34" s="16" t="inlineStr">
        <is>
          <t>B</t>
        </is>
      </c>
      <c r="B34" s="16" t="inlineStr">
        <is>
          <t>Alcohol Dependence</t>
        </is>
      </c>
      <c r="C34" s="16" t="inlineStr">
        <is>
          <t>Clinical Syndrome</t>
        </is>
      </c>
      <c r="D34" s="17" t="n"/>
      <c r="E34" s="16" t="inlineStr"/>
    </row>
    <row r="35">
      <c r="A35" s="16" t="inlineStr">
        <is>
          <t>T</t>
        </is>
      </c>
      <c r="B35" s="16" t="inlineStr">
        <is>
          <t>Drug Dependence</t>
        </is>
      </c>
      <c r="C35" s="16" t="inlineStr">
        <is>
          <t>Clinical Syndrome</t>
        </is>
      </c>
      <c r="D35" s="17" t="n"/>
      <c r="E35" s="16" t="inlineStr"/>
    </row>
    <row r="36">
      <c r="A36" s="16" t="inlineStr">
        <is>
          <t>R</t>
        </is>
      </c>
      <c r="B36" s="16" t="inlineStr">
        <is>
          <t>Post-Traumatic Stress Disorder</t>
        </is>
      </c>
      <c r="C36" s="16" t="inlineStr">
        <is>
          <t>Clinical Syndrome</t>
        </is>
      </c>
      <c r="D36" s="17" t="n"/>
      <c r="E36" s="16" t="inlineStr"/>
    </row>
    <row r="38">
      <c r="A38" s="21" t="inlineStr">
        <is>
          <t>SEVERE CLINICAL SYNDROMES</t>
        </is>
      </c>
    </row>
    <row r="39">
      <c r="A39" s="16" t="inlineStr">
        <is>
          <t>SS</t>
        </is>
      </c>
      <c r="B39" s="16" t="inlineStr">
        <is>
          <t>Thought Disorder</t>
        </is>
      </c>
      <c r="C39" s="16" t="inlineStr">
        <is>
          <t>Severe Clinical</t>
        </is>
      </c>
      <c r="D39" s="17" t="n"/>
      <c r="E39" s="16" t="inlineStr"/>
    </row>
    <row r="40">
      <c r="A40" s="16" t="inlineStr">
        <is>
          <t>CC</t>
        </is>
      </c>
      <c r="B40" s="16" t="inlineStr">
        <is>
          <t>Major Depression</t>
        </is>
      </c>
      <c r="C40" s="16" t="inlineStr">
        <is>
          <t>Severe Clinical</t>
        </is>
      </c>
      <c r="D40" s="17" t="n"/>
      <c r="E40" s="16" t="inlineStr"/>
    </row>
    <row r="41">
      <c r="A41" s="16" t="inlineStr">
        <is>
          <t>PP</t>
        </is>
      </c>
      <c r="B41" s="16" t="inlineStr">
        <is>
          <t>Delusional Disorder</t>
        </is>
      </c>
      <c r="C41" s="16" t="inlineStr">
        <is>
          <t>Severe Clinical</t>
        </is>
      </c>
      <c r="D41" s="17" t="n"/>
      <c r="E41" s="16" t="inlineStr"/>
    </row>
  </sheetData>
  <mergeCells count="7">
    <mergeCell ref="A29:E29"/>
    <mergeCell ref="A24:E24"/>
    <mergeCell ref="A2:E2"/>
    <mergeCell ref="A38:E38"/>
    <mergeCell ref="A11:E11"/>
    <mergeCell ref="A1:E1"/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2" customWidth="1" min="4" max="4"/>
    <col width="30" customWidth="1" min="5" max="5"/>
    <col width="18" customWidth="1" min="6" max="6"/>
    <col width="50" customWidth="1" min="7" max="7"/>
  </cols>
  <sheetData>
    <row r="1">
      <c r="A1" s="12" t="inlineStr">
        <is>
          <t>MCMI-III BR SCORES &amp; CLINICAL INTERPRETATION</t>
        </is>
      </c>
    </row>
    <row r="2">
      <c r="A2" s="13" t="inlineStr">
        <is>
          <t>Enter BR Scores in Column D. Clinical Significance is auto-calculated.</t>
        </is>
      </c>
    </row>
    <row r="4" ht="30" customHeight="1">
      <c r="A4" s="22" t="inlineStr">
        <is>
          <t>Scale Code</t>
        </is>
      </c>
      <c r="B4" s="22" t="inlineStr">
        <is>
          <t>Scale Name</t>
        </is>
      </c>
      <c r="C4" s="22" t="inlineStr">
        <is>
          <t>Category</t>
        </is>
      </c>
      <c r="D4" s="22" t="inlineStr">
        <is>
          <t>BR Score</t>
        </is>
      </c>
      <c r="E4" s="22" t="inlineStr">
        <is>
          <t>Clinical Significance</t>
        </is>
      </c>
      <c r="F4" s="22" t="inlineStr">
        <is>
          <t>Interpretation Level</t>
        </is>
      </c>
      <c r="G4" s="22" t="inlineStr">
        <is>
          <t>Description</t>
        </is>
      </c>
    </row>
    <row r="5">
      <c r="A5" s="15" t="inlineStr">
        <is>
          <t>MODIFYING INDICES</t>
        </is>
      </c>
    </row>
    <row r="6">
      <c r="A6" s="18" t="inlineStr">
        <is>
          <t>X</t>
        </is>
      </c>
      <c r="B6" s="16" t="inlineStr">
        <is>
          <t>Disclosure</t>
        </is>
      </c>
      <c r="C6" s="16" t="inlineStr">
        <is>
          <t>Modifying Index</t>
        </is>
      </c>
      <c r="D6" s="17" t="n"/>
      <c r="E6" s="23">
        <f>IF(D6="","",IF(D6&gt;=85,"Pathological Level / Disorder",IF(D6&gt;=75,"Trait Level / Presence of Syndrome",IF(D6&gt;=60,"Suggestive (Monitor)",IF(D6&gt;=35,"Normal Range","Not Significant")))))</f>
        <v/>
      </c>
      <c r="F6" s="18">
        <f>IF(D6="",0,IF(D6&gt;=85,4,IF(D6&gt;=75,3,IF(D6&gt;=60,2,IF(D6&gt;=35,1,0)))))</f>
        <v/>
      </c>
      <c r="G6" s="24" t="inlineStr">
        <is>
          <t>Openness/willingness to reveal personal information</t>
        </is>
      </c>
    </row>
    <row r="7">
      <c r="A7" s="18" t="inlineStr">
        <is>
          <t>Y</t>
        </is>
      </c>
      <c r="B7" s="16" t="inlineStr">
        <is>
          <t>Desirability</t>
        </is>
      </c>
      <c r="C7" s="16" t="inlineStr">
        <is>
          <t>Modifying Index</t>
        </is>
      </c>
      <c r="D7" s="17" t="n"/>
      <c r="E7" s="23">
        <f>IF(D7="","",IF(D7&gt;=85,"Pathological Level / Disorder",IF(D7&gt;=75,"Trait Level / Presence of Syndrome",IF(D7&gt;=60,"Suggestive (Monitor)",IF(D7&gt;=35,"Normal Range","Not Significant")))))</f>
        <v/>
      </c>
      <c r="F7" s="18">
        <f>IF(D7="",0,IF(D7&gt;=85,4,IF(D7&gt;=75,3,IF(D7&gt;=60,2,IF(D7&gt;=35,1,0)))))</f>
        <v/>
      </c>
      <c r="G7" s="24" t="inlineStr">
        <is>
          <t>Tendency to present oneself in a favorable light</t>
        </is>
      </c>
    </row>
    <row r="8">
      <c r="A8" s="18" t="inlineStr">
        <is>
          <t>Z</t>
        </is>
      </c>
      <c r="B8" s="16" t="inlineStr">
        <is>
          <t>Debasement</t>
        </is>
      </c>
      <c r="C8" s="16" t="inlineStr">
        <is>
          <t>Modifying Index</t>
        </is>
      </c>
      <c r="D8" s="17" t="n"/>
      <c r="E8" s="23">
        <f>IF(D8="","",IF(D8&gt;=85,"Pathological Level / Disorder",IF(D8&gt;=75,"Trait Level / Presence of Syndrome",IF(D8&gt;=60,"Suggestive (Monitor)",IF(D8&gt;=35,"Normal Range","Not Significant")))))</f>
        <v/>
      </c>
      <c r="F8" s="18">
        <f>IF(D8="",0,IF(D8&gt;=85,4,IF(D8&gt;=75,3,IF(D8&gt;=60,2,IF(D8&gt;=35,1,0)))))</f>
        <v/>
      </c>
      <c r="G8" s="24" t="inlineStr">
        <is>
          <t>Tendency to deprecate or devalue oneself</t>
        </is>
      </c>
    </row>
    <row r="9">
      <c r="A9" s="18" t="inlineStr">
        <is>
          <t>V</t>
        </is>
      </c>
      <c r="B9" s="16" t="inlineStr">
        <is>
          <t>Invalidity</t>
        </is>
      </c>
      <c r="C9" s="16" t="inlineStr">
        <is>
          <t>Modifying Index</t>
        </is>
      </c>
      <c r="D9" s="17" t="n"/>
      <c r="E9" s="23">
        <f>IF(D9="","",IF(D9&gt;=85,"Pathological Level / Disorder",IF(D9&gt;=75,"Trait Level / Presence of Syndrome",IF(D9&gt;=60,"Suggestive (Monitor)",IF(D9&gt;=35,"Normal Range","Not Significant")))))</f>
        <v/>
      </c>
      <c r="F9" s="18">
        <f>IF(D9="",0,IF(D9&gt;=85,4,IF(D9&gt;=75,3,IF(D9&gt;=60,2,IF(D9&gt;=35,1,0)))))</f>
        <v/>
      </c>
      <c r="G9" s="24" t="inlineStr">
        <is>
          <t>Random or confused responding (&gt;1 invalidates)</t>
        </is>
      </c>
    </row>
    <row r="11">
      <c r="A11" s="19" t="inlineStr">
        <is>
          <t>CLINICAL PERSONALITY PATTERNS</t>
        </is>
      </c>
    </row>
    <row r="12">
      <c r="A12" s="18" t="inlineStr">
        <is>
          <t>1</t>
        </is>
      </c>
      <c r="B12" s="16" t="inlineStr">
        <is>
          <t>Schizoid</t>
        </is>
      </c>
      <c r="C12" s="16" t="inlineStr">
        <is>
          <t>Clinical Personality</t>
        </is>
      </c>
      <c r="D12" s="17" t="n"/>
      <c r="E12" s="23">
        <f>IF(D12="","",IF(D12&gt;=85,"Pathological Level / Disorder",IF(D12&gt;=75,"Trait Level / Presence of Syndrome",IF(D12&gt;=60,"Suggestive (Monitor)",IF(D12&gt;=35,"Normal Range","Not Significant")))))</f>
        <v/>
      </c>
      <c r="F12" s="18">
        <f>IF(D12="",0,IF(D12&gt;=85,4,IF(D12&gt;=75,3,IF(D12&gt;=60,2,IF(D12&gt;=35,1,0)))))</f>
        <v/>
      </c>
      <c r="G12" s="24" t="inlineStr">
        <is>
          <t>Emotional detachment, social withdrawal, limited affect</t>
        </is>
      </c>
    </row>
    <row r="13">
      <c r="A13" s="18" t="inlineStr">
        <is>
          <t>2A</t>
        </is>
      </c>
      <c r="B13" s="16" t="inlineStr">
        <is>
          <t>Avoidant</t>
        </is>
      </c>
      <c r="C13" s="16" t="inlineStr">
        <is>
          <t>Clinical Personality</t>
        </is>
      </c>
      <c r="D13" s="17" t="n"/>
      <c r="E13" s="23">
        <f>IF(D13="","",IF(D13&gt;=85,"Pathological Level / Disorder",IF(D13&gt;=75,"Trait Level / Presence of Syndrome",IF(D13&gt;=60,"Suggestive (Monitor)",IF(D13&gt;=35,"Normal Range","Not Significant")))))</f>
        <v/>
      </c>
      <c r="F13" s="18">
        <f>IF(D13="",0,IF(D13&gt;=85,4,IF(D13&gt;=75,3,IF(D13&gt;=60,2,IF(D13&gt;=35,1,0)))))</f>
        <v/>
      </c>
      <c r="G13" s="24" t="inlineStr">
        <is>
          <t>Social inhibition, fear of rejection, hypersensitivity</t>
        </is>
      </c>
    </row>
    <row r="14">
      <c r="A14" s="18" t="inlineStr">
        <is>
          <t>2B</t>
        </is>
      </c>
      <c r="B14" s="16" t="inlineStr">
        <is>
          <t>Depressive</t>
        </is>
      </c>
      <c r="C14" s="16" t="inlineStr">
        <is>
          <t>Clinical Personality</t>
        </is>
      </c>
      <c r="D14" s="17" t="n"/>
      <c r="E14" s="23">
        <f>IF(D14="","",IF(D14&gt;=85,"Pathological Level / Disorder",IF(D14&gt;=75,"Trait Level / Presence of Syndrome",IF(D14&gt;=60,"Suggestive (Monitor)",IF(D14&gt;=35,"Normal Range","Not Significant")))))</f>
        <v/>
      </c>
      <c r="F14" s="18">
        <f>IF(D14="",0,IF(D14&gt;=85,4,IF(D14&gt;=75,3,IF(D14&gt;=60,2,IF(D14&gt;=35,1,0)))))</f>
        <v/>
      </c>
      <c r="G14" s="24" t="inlineStr">
        <is>
          <t>Chronic pessimism, low mood, hopelessness</t>
        </is>
      </c>
    </row>
    <row r="15">
      <c r="A15" s="18" t="inlineStr">
        <is>
          <t>3</t>
        </is>
      </c>
      <c r="B15" s="16" t="inlineStr">
        <is>
          <t>Dependent</t>
        </is>
      </c>
      <c r="C15" s="16" t="inlineStr">
        <is>
          <t>Clinical Personality</t>
        </is>
      </c>
      <c r="D15" s="17" t="n"/>
      <c r="E15" s="23">
        <f>IF(D15="","",IF(D15&gt;=85,"Pathological Level / Disorder",IF(D15&gt;=75,"Trait Level / Presence of Syndrome",IF(D15&gt;=60,"Suggestive (Monitor)",IF(D15&gt;=35,"Normal Range","Not Significant")))))</f>
        <v/>
      </c>
      <c r="F15" s="18">
        <f>IF(D15="",0,IF(D15&gt;=85,4,IF(D15&gt;=75,3,IF(D15&gt;=60,2,IF(D15&gt;=35,1,0)))))</f>
        <v/>
      </c>
      <c r="G15" s="24" t="inlineStr">
        <is>
          <t>Submissiveness, need for reassurance, clinging behavior</t>
        </is>
      </c>
    </row>
    <row r="16">
      <c r="A16" s="18" t="inlineStr">
        <is>
          <t>4</t>
        </is>
      </c>
      <c r="B16" s="16" t="inlineStr">
        <is>
          <t>Histrionic</t>
        </is>
      </c>
      <c r="C16" s="16" t="inlineStr">
        <is>
          <t>Clinical Personality</t>
        </is>
      </c>
      <c r="D16" s="17" t="n"/>
      <c r="E16" s="23">
        <f>IF(D16="","",IF(D16&gt;=85,"Pathological Level / Disorder",IF(D16&gt;=75,"Trait Level / Presence of Syndrome",IF(D16&gt;=60,"Suggestive (Monitor)",IF(D16&gt;=35,"Normal Range","Not Significant")))))</f>
        <v/>
      </c>
      <c r="F16" s="18">
        <f>IF(D16="",0,IF(D16&gt;=85,4,IF(D16&gt;=75,3,IF(D16&gt;=60,2,IF(D16&gt;=35,1,0)))))</f>
        <v/>
      </c>
      <c r="G16" s="24" t="inlineStr">
        <is>
          <t>Attention-seeking, emotional lability, superficiality</t>
        </is>
      </c>
    </row>
    <row r="17">
      <c r="A17" s="18" t="inlineStr">
        <is>
          <t>5</t>
        </is>
      </c>
      <c r="B17" s="16" t="inlineStr">
        <is>
          <t>Narcissistic</t>
        </is>
      </c>
      <c r="C17" s="16" t="inlineStr">
        <is>
          <t>Clinical Personality</t>
        </is>
      </c>
      <c r="D17" s="17" t="n"/>
      <c r="E17" s="23">
        <f>IF(D17="","",IF(D17&gt;=85,"Pathological Level / Disorder",IF(D17&gt;=75,"Trait Level / Presence of Syndrome",IF(D17&gt;=60,"Suggestive (Monitor)",IF(D17&gt;=35,"Normal Range","Not Significant")))))</f>
        <v/>
      </c>
      <c r="F17" s="18">
        <f>IF(D17="",0,IF(D17&gt;=85,4,IF(D17&gt;=75,3,IF(D17&gt;=60,2,IF(D17&gt;=35,1,0)))))</f>
        <v/>
      </c>
      <c r="G17" s="24" t="inlineStr">
        <is>
          <t>Grandiosity, entitlement, lack of empathy</t>
        </is>
      </c>
    </row>
    <row r="18">
      <c r="A18" s="18" t="inlineStr">
        <is>
          <t>6A</t>
        </is>
      </c>
      <c r="B18" s="16" t="inlineStr">
        <is>
          <t>Antisocial</t>
        </is>
      </c>
      <c r="C18" s="16" t="inlineStr">
        <is>
          <t>Clinical Personality</t>
        </is>
      </c>
      <c r="D18" s="17" t="n"/>
      <c r="E18" s="23">
        <f>IF(D18="","",IF(D18&gt;=85,"Pathological Level / Disorder",IF(D18&gt;=75,"Trait Level / Presence of Syndrome",IF(D18&gt;=60,"Suggestive (Monitor)",IF(D18&gt;=35,"Normal Range","Not Significant")))))</f>
        <v/>
      </c>
      <c r="F18" s="18">
        <f>IF(D18="",0,IF(D18&gt;=85,4,IF(D18&gt;=75,3,IF(D18&gt;=60,2,IF(D18&gt;=35,1,0)))))</f>
        <v/>
      </c>
      <c r="G18" s="24" t="inlineStr">
        <is>
          <t>Disregard for rules, impulsivity, exploitation</t>
        </is>
      </c>
    </row>
    <row r="19">
      <c r="A19" s="18" t="inlineStr">
        <is>
          <t>6B</t>
        </is>
      </c>
      <c r="B19" s="16" t="inlineStr">
        <is>
          <t>Sadistic (Aggressive)</t>
        </is>
      </c>
      <c r="C19" s="16" t="inlineStr">
        <is>
          <t>Clinical Personality</t>
        </is>
      </c>
      <c r="D19" s="17" t="n"/>
      <c r="E19" s="23">
        <f>IF(D19="","",IF(D19&gt;=85,"Pathological Level / Disorder",IF(D19&gt;=75,"Trait Level / Presence of Syndrome",IF(D19&gt;=60,"Suggestive (Monitor)",IF(D19&gt;=35,"Normal Range","Not Significant")))))</f>
        <v/>
      </c>
      <c r="F19" s="18">
        <f>IF(D19="",0,IF(D19&gt;=85,4,IF(D19&gt;=75,3,IF(D19&gt;=60,2,IF(D19&gt;=35,1,0)))))</f>
        <v/>
      </c>
      <c r="G19" s="24" t="inlineStr">
        <is>
          <t>Hostile, domineering, pleasure in others pain</t>
        </is>
      </c>
    </row>
    <row r="20">
      <c r="A20" s="18" t="inlineStr">
        <is>
          <t>7</t>
        </is>
      </c>
      <c r="B20" s="16" t="inlineStr">
        <is>
          <t>Compulsive</t>
        </is>
      </c>
      <c r="C20" s="16" t="inlineStr">
        <is>
          <t>Clinical Personality</t>
        </is>
      </c>
      <c r="D20" s="17" t="n"/>
      <c r="E20" s="23">
        <f>IF(D20="","",IF(D20&gt;=85,"Pathological Level / Disorder",IF(D20&gt;=75,"Trait Level / Presence of Syndrome",IF(D20&gt;=60,"Suggestive (Monitor)",IF(D20&gt;=35,"Normal Range","Not Significant")))))</f>
        <v/>
      </c>
      <c r="F20" s="18">
        <f>IF(D20="",0,IF(D20&gt;=85,4,IF(D20&gt;=75,3,IF(D20&gt;=60,2,IF(D20&gt;=35,1,0)))))</f>
        <v/>
      </c>
      <c r="G20" s="24" t="inlineStr">
        <is>
          <t>Perfectionism, rigidity, emotional constriction</t>
        </is>
      </c>
    </row>
    <row r="21">
      <c r="A21" s="18" t="inlineStr">
        <is>
          <t>8A</t>
        </is>
      </c>
      <c r="B21" s="16" t="inlineStr">
        <is>
          <t>Negativistic (Passive-Aggressive)</t>
        </is>
      </c>
      <c r="C21" s="16" t="inlineStr">
        <is>
          <t>Clinical Personality</t>
        </is>
      </c>
      <c r="D21" s="17" t="n"/>
      <c r="E21" s="23">
        <f>IF(D21="","",IF(D21&gt;=85,"Pathological Level / Disorder",IF(D21&gt;=75,"Trait Level / Presence of Syndrome",IF(D21&gt;=60,"Suggestive (Monitor)",IF(D21&gt;=35,"Normal Range","Not Significant")))))</f>
        <v/>
      </c>
      <c r="F21" s="18">
        <f>IF(D21="",0,IF(D21&gt;=85,4,IF(D21&gt;=75,3,IF(D21&gt;=60,2,IF(D21&gt;=35,1,0)))))</f>
        <v/>
      </c>
      <c r="G21" s="24" t="inlineStr">
        <is>
          <t>Ambivalence, irritability, oppositional behavior</t>
        </is>
      </c>
    </row>
    <row r="22">
      <c r="A22" s="18" t="inlineStr">
        <is>
          <t>8B</t>
        </is>
      </c>
      <c r="B22" s="16" t="inlineStr">
        <is>
          <t>Masochistic (Self-Defeating)</t>
        </is>
      </c>
      <c r="C22" s="16" t="inlineStr">
        <is>
          <t>Clinical Personality</t>
        </is>
      </c>
      <c r="D22" s="17" t="n"/>
      <c r="E22" s="23">
        <f>IF(D22="","",IF(D22&gt;=85,"Pathological Level / Disorder",IF(D22&gt;=75,"Trait Level / Presence of Syndrome",IF(D22&gt;=60,"Suggestive (Monitor)",IF(D22&gt;=35,"Normal Range","Not Significant")))))</f>
        <v/>
      </c>
      <c r="F22" s="18">
        <f>IF(D22="",0,IF(D22&gt;=85,4,IF(D22&gt;=75,3,IF(D22&gt;=60,2,IF(D22&gt;=35,1,0)))))</f>
        <v/>
      </c>
      <c r="G22" s="24" t="inlineStr">
        <is>
          <t>Self-sacrifice, acceptance of suffering, guilt</t>
        </is>
      </c>
    </row>
    <row r="24">
      <c r="A24" s="20" t="inlineStr">
        <is>
          <t>SEVERE PERSONALITY PATHOLOGY</t>
        </is>
      </c>
    </row>
    <row r="25">
      <c r="A25" s="18" t="inlineStr">
        <is>
          <t>S</t>
        </is>
      </c>
      <c r="B25" s="16" t="inlineStr">
        <is>
          <t>Schizotypal</t>
        </is>
      </c>
      <c r="C25" s="16" t="inlineStr">
        <is>
          <t>Severe Personality</t>
        </is>
      </c>
      <c r="D25" s="17" t="n"/>
      <c r="E25" s="23">
        <f>IF(D25="","",IF(D25&gt;=85,"Pathological Level / Disorder",IF(D25&gt;=75,"Trait Level / Presence of Syndrome",IF(D25&gt;=60,"Suggestive (Monitor)",IF(D25&gt;=35,"Normal Range","Not Significant")))))</f>
        <v/>
      </c>
      <c r="F25" s="18">
        <f>IF(D25="",0,IF(D25&gt;=85,4,IF(D25&gt;=75,3,IF(D25&gt;=60,2,IF(D25&gt;=35,1,0)))))</f>
        <v/>
      </c>
      <c r="G25" s="24" t="inlineStr">
        <is>
          <t>Eccentric behavior, cognitive slippage, social detachment</t>
        </is>
      </c>
    </row>
    <row r="26">
      <c r="A26" s="18" t="inlineStr">
        <is>
          <t>C</t>
        </is>
      </c>
      <c r="B26" s="16" t="inlineStr">
        <is>
          <t>Borderline</t>
        </is>
      </c>
      <c r="C26" s="16" t="inlineStr">
        <is>
          <t>Severe Personality</t>
        </is>
      </c>
      <c r="D26" s="17" t="n"/>
      <c r="E26" s="23">
        <f>IF(D26="","",IF(D26&gt;=85,"Pathological Level / Disorder",IF(D26&gt;=75,"Trait Level / Presence of Syndrome",IF(D26&gt;=60,"Suggestive (Monitor)",IF(D26&gt;=35,"Normal Range","Not Significant")))))</f>
        <v/>
      </c>
      <c r="F26" s="18">
        <f>IF(D26="",0,IF(D26&gt;=85,4,IF(D26&gt;=75,3,IF(D26&gt;=60,2,IF(D26&gt;=35,1,0)))))</f>
        <v/>
      </c>
      <c r="G26" s="24" t="inlineStr">
        <is>
          <t>Emotional instability, identity diffusion, self-harm risk</t>
        </is>
      </c>
    </row>
    <row r="27">
      <c r="A27" s="18" t="inlineStr">
        <is>
          <t>P</t>
        </is>
      </c>
      <c r="B27" s="16" t="inlineStr">
        <is>
          <t>Paranoid</t>
        </is>
      </c>
      <c r="C27" s="16" t="inlineStr">
        <is>
          <t>Severe Personality</t>
        </is>
      </c>
      <c r="D27" s="17" t="n"/>
      <c r="E27" s="23">
        <f>IF(D27="","",IF(D27&gt;=85,"Pathological Level / Disorder",IF(D27&gt;=75,"Trait Level / Presence of Syndrome",IF(D27&gt;=60,"Suggestive (Monitor)",IF(D27&gt;=35,"Normal Range","Not Significant")))))</f>
        <v/>
      </c>
      <c r="F27" s="18">
        <f>IF(D27="",0,IF(D27&gt;=85,4,IF(D27&gt;=75,3,IF(D27&gt;=60,2,IF(D27&gt;=35,1,0)))))</f>
        <v/>
      </c>
      <c r="G27" s="24" t="inlineStr">
        <is>
          <t>Suspiciousness, mistrust, hypervigilance</t>
        </is>
      </c>
    </row>
    <row r="29">
      <c r="A29" s="15" t="inlineStr">
        <is>
          <t>CLINICAL SYNDROMES</t>
        </is>
      </c>
    </row>
    <row r="30">
      <c r="A30" s="18" t="inlineStr">
        <is>
          <t>A</t>
        </is>
      </c>
      <c r="B30" s="16" t="inlineStr">
        <is>
          <t>Anxiety</t>
        </is>
      </c>
      <c r="C30" s="16" t="inlineStr">
        <is>
          <t>Clinical Syndrome</t>
        </is>
      </c>
      <c r="D30" s="17" t="n"/>
      <c r="E30" s="23">
        <f>IF(D30="","",IF(D30&gt;=85,"Pathological Level / Disorder",IF(D30&gt;=75,"Trait Level / Presence of Syndrome",IF(D30&gt;=60,"Suggestive (Monitor)",IF(D30&gt;=35,"Normal Range","Not Significant")))))</f>
        <v/>
      </c>
      <c r="F30" s="18">
        <f>IF(D30="",0,IF(D30&gt;=85,4,IF(D30&gt;=75,3,IF(D30&gt;=60,2,IF(D30&gt;=35,1,0)))))</f>
        <v/>
      </c>
      <c r="G30" s="24" t="inlineStr">
        <is>
          <t>Excessive worry, tension, apprehension, somatic anxiety</t>
        </is>
      </c>
    </row>
    <row r="31">
      <c r="A31" s="18" t="inlineStr">
        <is>
          <t>H</t>
        </is>
      </c>
      <c r="B31" s="16" t="inlineStr">
        <is>
          <t>Somatoform</t>
        </is>
      </c>
      <c r="C31" s="16" t="inlineStr">
        <is>
          <t>Clinical Syndrome</t>
        </is>
      </c>
      <c r="D31" s="17" t="n"/>
      <c r="E31" s="23">
        <f>IF(D31="","",IF(D31&gt;=85,"Pathological Level / Disorder",IF(D31&gt;=75,"Trait Level / Presence of Syndrome",IF(D31&gt;=60,"Suggestive (Monitor)",IF(D31&gt;=35,"Normal Range","Not Significant")))))</f>
        <v/>
      </c>
      <c r="F31" s="18">
        <f>IF(D31="",0,IF(D31&gt;=85,4,IF(D31&gt;=75,3,IF(D31&gt;=60,2,IF(D31&gt;=35,1,0)))))</f>
        <v/>
      </c>
      <c r="G31" s="24" t="inlineStr">
        <is>
          <t>Somatic complaints, health preoccupation</t>
        </is>
      </c>
    </row>
    <row r="32">
      <c r="A32" s="18" t="inlineStr">
        <is>
          <t>N</t>
        </is>
      </c>
      <c r="B32" s="16" t="inlineStr">
        <is>
          <t>Bipolar: Manic</t>
        </is>
      </c>
      <c r="C32" s="16" t="inlineStr">
        <is>
          <t>Clinical Syndrome</t>
        </is>
      </c>
      <c r="D32" s="17" t="n"/>
      <c r="E32" s="23">
        <f>IF(D32="","",IF(D32&gt;=85,"Pathological Level / Disorder",IF(D32&gt;=75,"Trait Level / Presence of Syndrome",IF(D32&gt;=60,"Suggestive (Monitor)",IF(D32&gt;=35,"Normal Range","Not Significant")))))</f>
        <v/>
      </c>
      <c r="F32" s="18">
        <f>IF(D32="",0,IF(D32&gt;=85,4,IF(D32&gt;=75,3,IF(D32&gt;=60,2,IF(D32&gt;=35,1,0)))))</f>
        <v/>
      </c>
      <c r="G32" s="24" t="inlineStr">
        <is>
          <t>Elevated mood, pressured speech, grandiosity</t>
        </is>
      </c>
    </row>
    <row r="33">
      <c r="A33" s="18" t="inlineStr">
        <is>
          <t>D</t>
        </is>
      </c>
      <c r="B33" s="16" t="inlineStr">
        <is>
          <t>Dysthymia</t>
        </is>
      </c>
      <c r="C33" s="16" t="inlineStr">
        <is>
          <t>Clinical Syndrome</t>
        </is>
      </c>
      <c r="D33" s="17" t="n"/>
      <c r="E33" s="23">
        <f>IF(D33="","",IF(D33&gt;=85,"Pathological Level / Disorder",IF(D33&gt;=75,"Trait Level / Presence of Syndrome",IF(D33&gt;=60,"Suggestive (Monitor)",IF(D33&gt;=35,"Normal Range","Not Significant")))))</f>
        <v/>
      </c>
      <c r="F33" s="18">
        <f>IF(D33="",0,IF(D33&gt;=85,4,IF(D33&gt;=75,3,IF(D33&gt;=60,2,IF(D33&gt;=35,1,0)))))</f>
        <v/>
      </c>
      <c r="G33" s="24" t="inlineStr">
        <is>
          <t>Chronic mild depression, low energy, pessimism</t>
        </is>
      </c>
    </row>
    <row r="34">
      <c r="A34" s="18" t="inlineStr">
        <is>
          <t>B</t>
        </is>
      </c>
      <c r="B34" s="16" t="inlineStr">
        <is>
          <t>Alcohol Dependence</t>
        </is>
      </c>
      <c r="C34" s="16" t="inlineStr">
        <is>
          <t>Clinical Syndrome</t>
        </is>
      </c>
      <c r="D34" s="17" t="n"/>
      <c r="E34" s="23">
        <f>IF(D34="","",IF(D34&gt;=85,"Pathological Level / Disorder",IF(D34&gt;=75,"Trait Level / Presence of Syndrome",IF(D34&gt;=60,"Suggestive (Monitor)",IF(D34&gt;=35,"Normal Range","Not Significant")))))</f>
        <v/>
      </c>
      <c r="F34" s="18">
        <f>IF(D34="",0,IF(D34&gt;=85,4,IF(D34&gt;=75,3,IF(D34&gt;=60,2,IF(D34&gt;=35,1,0)))))</f>
        <v/>
      </c>
      <c r="G34" s="24" t="inlineStr">
        <is>
          <t>Problematic alcohol use pattern</t>
        </is>
      </c>
    </row>
    <row r="35">
      <c r="A35" s="18" t="inlineStr">
        <is>
          <t>T</t>
        </is>
      </c>
      <c r="B35" s="16" t="inlineStr">
        <is>
          <t>Drug Dependence</t>
        </is>
      </c>
      <c r="C35" s="16" t="inlineStr">
        <is>
          <t>Clinical Syndrome</t>
        </is>
      </c>
      <c r="D35" s="17" t="n"/>
      <c r="E35" s="23">
        <f>IF(D35="","",IF(D35&gt;=85,"Pathological Level / Disorder",IF(D35&gt;=75,"Trait Level / Presence of Syndrome",IF(D35&gt;=60,"Suggestive (Monitor)",IF(D35&gt;=35,"Normal Range","Not Significant")))))</f>
        <v/>
      </c>
      <c r="F35" s="18">
        <f>IF(D35="",0,IF(D35&gt;=85,4,IF(D35&gt;=75,3,IF(D35&gt;=60,2,IF(D35&gt;=35,1,0)))))</f>
        <v/>
      </c>
      <c r="G35" s="24" t="inlineStr">
        <is>
          <t>Problematic drug use pattern</t>
        </is>
      </c>
    </row>
    <row r="36">
      <c r="A36" s="18" t="inlineStr">
        <is>
          <t>R</t>
        </is>
      </c>
      <c r="B36" s="16" t="inlineStr">
        <is>
          <t>Post-Traumatic Stress Disorder</t>
        </is>
      </c>
      <c r="C36" s="16" t="inlineStr">
        <is>
          <t>Clinical Syndrome</t>
        </is>
      </c>
      <c r="D36" s="17" t="n"/>
      <c r="E36" s="23">
        <f>IF(D36="","",IF(D36&gt;=85,"Pathological Level / Disorder",IF(D36&gt;=75,"Trait Level / Presence of Syndrome",IF(D36&gt;=60,"Suggestive (Monitor)",IF(D36&gt;=35,"Normal Range","Not Significant")))))</f>
        <v/>
      </c>
      <c r="F36" s="18">
        <f>IF(D36="",0,IF(D36&gt;=85,4,IF(D36&gt;=75,3,IF(D36&gt;=60,2,IF(D36&gt;=35,1,0)))))</f>
        <v/>
      </c>
      <c r="G36" s="24" t="inlineStr">
        <is>
          <t>Trauma-related distress, hyperarousal, avoidance</t>
        </is>
      </c>
    </row>
    <row r="38">
      <c r="A38" s="21" t="inlineStr">
        <is>
          <t>SEVERE CLINICAL SYNDROMES</t>
        </is>
      </c>
    </row>
    <row r="39">
      <c r="A39" s="18" t="inlineStr">
        <is>
          <t>SS</t>
        </is>
      </c>
      <c r="B39" s="16" t="inlineStr">
        <is>
          <t>Thought Disorder</t>
        </is>
      </c>
      <c r="C39" s="16" t="inlineStr">
        <is>
          <t>Severe Clinical</t>
        </is>
      </c>
      <c r="D39" s="17" t="n"/>
      <c r="E39" s="23">
        <f>IF(D39="","",IF(D39&gt;=85,"Pathological Level / Disorder",IF(D39&gt;=75,"Trait Level / Presence of Syndrome",IF(D39&gt;=60,"Suggestive (Monitor)",IF(D39&gt;=35,"Normal Range","Not Significant")))))</f>
        <v/>
      </c>
      <c r="F39" s="18">
        <f>IF(D39="",0,IF(D39&gt;=85,4,IF(D39&gt;=75,3,IF(D39&gt;=60,2,IF(D39&gt;=35,1,0)))))</f>
        <v/>
      </c>
      <c r="G39" s="24" t="inlineStr">
        <is>
          <t>Disorganized thinking, possible psychotic features</t>
        </is>
      </c>
    </row>
    <row r="40">
      <c r="A40" s="18" t="inlineStr">
        <is>
          <t>CC</t>
        </is>
      </c>
      <c r="B40" s="16" t="inlineStr">
        <is>
          <t>Major Depression</t>
        </is>
      </c>
      <c r="C40" s="16" t="inlineStr">
        <is>
          <t>Severe Clinical</t>
        </is>
      </c>
      <c r="D40" s="17" t="n"/>
      <c r="E40" s="23">
        <f>IF(D40="","",IF(D40&gt;=85,"Pathological Level / Disorder",IF(D40&gt;=75,"Trait Level / Presence of Syndrome",IF(D40&gt;=60,"Suggestive (Monitor)",IF(D40&gt;=35,"Normal Range","Not Significant")))))</f>
        <v/>
      </c>
      <c r="F40" s="18">
        <f>IF(D40="",0,IF(D40&gt;=85,4,IF(D40&gt;=75,3,IF(D40&gt;=60,2,IF(D40&gt;=35,1,0)))))</f>
        <v/>
      </c>
      <c r="G40" s="24" t="inlineStr">
        <is>
          <t>Severe depressive episode, hopelessness, anhedonia</t>
        </is>
      </c>
    </row>
    <row r="41">
      <c r="A41" s="18" t="inlineStr">
        <is>
          <t>PP</t>
        </is>
      </c>
      <c r="B41" s="16" t="inlineStr">
        <is>
          <t>Delusional Disorder</t>
        </is>
      </c>
      <c r="C41" s="16" t="inlineStr">
        <is>
          <t>Severe Clinical</t>
        </is>
      </c>
      <c r="D41" s="17" t="n"/>
      <c r="E41" s="23">
        <f>IF(D41="","",IF(D41&gt;=85,"Pathological Level / Disorder",IF(D41&gt;=75,"Trait Level / Presence of Syndrome",IF(D41&gt;=60,"Suggestive (Monitor)",IF(D41&gt;=35,"Normal Range","Not Significant")))))</f>
        <v/>
      </c>
      <c r="F41" s="18">
        <f>IF(D41="",0,IF(D41&gt;=85,4,IF(D41&gt;=75,3,IF(D41&gt;=60,2,IF(D41&gt;=35,1,0)))))</f>
        <v/>
      </c>
      <c r="G41" s="24" t="inlineStr">
        <is>
          <t>Fixed false beliefs, paranoid ideation</t>
        </is>
      </c>
    </row>
  </sheetData>
  <mergeCells count="7">
    <mergeCell ref="A1:G1"/>
    <mergeCell ref="A24:G24"/>
    <mergeCell ref="A2:G2"/>
    <mergeCell ref="A38:G38"/>
    <mergeCell ref="A29:G29"/>
    <mergeCell ref="A11:G11"/>
    <mergeCell ref="A5:G5"/>
  </mergeCells>
  <conditionalFormatting sqref="D5:D42">
    <cfRule type="cellIs" priority="1" operator="greaterThanOrEqual" dxfId="0">
      <formula>85</formula>
    </cfRule>
    <cfRule type="cellIs" priority="2" operator="between" dxfId="1">
      <formula>75</formula>
      <formula>84</formula>
    </cfRule>
    <cfRule type="cellIs" priority="3" operator="between" dxfId="2">
      <formula>35</formula>
      <formula>74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30" customWidth="1" min="4" max="4"/>
    <col width="18" customWidth="1" min="5" max="5"/>
    <col width="30" customWidth="1" min="6" max="6"/>
  </cols>
  <sheetData>
    <row r="1">
      <c r="A1" s="12" t="inlineStr">
        <is>
          <t>MCMI-III PROFILE SUMMARY</t>
        </is>
      </c>
    </row>
    <row r="2">
      <c r="A2" s="13" t="inlineStr">
        <is>
          <t>Visual Profile Overview - BR Scores by Scale</t>
        </is>
      </c>
    </row>
    <row r="4">
      <c r="A4" s="14" t="inlineStr">
        <is>
          <t>Scale</t>
        </is>
      </c>
      <c r="B4" s="14" t="inlineStr">
        <is>
          <t>Scale Name</t>
        </is>
      </c>
      <c r="C4" s="14" t="inlineStr">
        <is>
          <t>BR Score</t>
        </is>
      </c>
      <c r="D4" s="14" t="inlineStr">
        <is>
          <t>Bar (Visual)</t>
        </is>
      </c>
      <c r="E4" s="14" t="inlineStr">
        <is>
          <t>Significance</t>
        </is>
      </c>
      <c r="F4" s="14" t="inlineStr">
        <is>
          <t>Notes</t>
        </is>
      </c>
    </row>
    <row r="5">
      <c r="A5" s="18" t="inlineStr">
        <is>
          <t>X</t>
        </is>
      </c>
      <c r="B5" s="16" t="inlineStr">
        <is>
          <t>Disclosure</t>
        </is>
      </c>
      <c r="C5" s="18">
        <f>'BR Scores &amp; Interpretation'!D6</f>
        <v/>
      </c>
      <c r="D5" s="25">
        <f>IF(C5="","",REPT("█",INT(C5/5)))</f>
        <v/>
      </c>
      <c r="E5" s="18">
        <f>IF(C5="","",IF(C5&gt;=85,"⚠ PATHOLOGICAL",IF(C5&gt;=75,"● TRAIT LEVEL",IF(C5&gt;=60,"○ Suggestive","— Normal"))))</f>
        <v/>
      </c>
      <c r="F5" s="5" t="n"/>
    </row>
    <row r="6">
      <c r="A6" s="18" t="inlineStr">
        <is>
          <t>Y</t>
        </is>
      </c>
      <c r="B6" s="16" t="inlineStr">
        <is>
          <t>Desirability</t>
        </is>
      </c>
      <c r="C6" s="18">
        <f>'BR Scores &amp; Interpretation'!D7</f>
        <v/>
      </c>
      <c r="D6" s="25">
        <f>IF(C6="","",REPT("█",INT(C6/5)))</f>
        <v/>
      </c>
      <c r="E6" s="18">
        <f>IF(C6="","",IF(C6&gt;=85,"⚠ PATHOLOGICAL",IF(C6&gt;=75,"● TRAIT LEVEL",IF(C6&gt;=60,"○ Suggestive","— Normal"))))</f>
        <v/>
      </c>
      <c r="F6" s="5" t="n"/>
    </row>
    <row r="7">
      <c r="A7" s="18" t="inlineStr">
        <is>
          <t>Z</t>
        </is>
      </c>
      <c r="B7" s="16" t="inlineStr">
        <is>
          <t>Debasement</t>
        </is>
      </c>
      <c r="C7" s="18">
        <f>'BR Scores &amp; Interpretation'!D8</f>
        <v/>
      </c>
      <c r="D7" s="25">
        <f>IF(C7="","",REPT("█",INT(C7/5)))</f>
        <v/>
      </c>
      <c r="E7" s="18">
        <f>IF(C7="","",IF(C7&gt;=85,"⚠ PATHOLOGICAL",IF(C7&gt;=75,"● TRAIT LEVEL",IF(C7&gt;=60,"○ Suggestive","— Normal"))))</f>
        <v/>
      </c>
      <c r="F7" s="5" t="n"/>
    </row>
    <row r="8">
      <c r="A8" s="18" t="inlineStr">
        <is>
          <t>V</t>
        </is>
      </c>
      <c r="B8" s="16" t="inlineStr">
        <is>
          <t>Invalidity</t>
        </is>
      </c>
      <c r="C8" s="18">
        <f>'BR Scores &amp; Interpretation'!D9</f>
        <v/>
      </c>
      <c r="D8" s="25">
        <f>IF(C8="","",REPT("█",INT(C8/5)))</f>
        <v/>
      </c>
      <c r="E8" s="18">
        <f>IF(C8="","",IF(C8&gt;=85,"⚠ PATHOLOGICAL",IF(C8&gt;=75,"● TRAIT LEVEL",IF(C8&gt;=60,"○ Suggestive","— Normal"))))</f>
        <v/>
      </c>
      <c r="F8" s="5" t="n"/>
    </row>
    <row r="9">
      <c r="A9" s="18" t="inlineStr">
        <is>
          <t>1</t>
        </is>
      </c>
      <c r="B9" s="16" t="inlineStr">
        <is>
          <t>Schizoid</t>
        </is>
      </c>
      <c r="C9" s="18">
        <f>'BR Scores &amp; Interpretation'!D12</f>
        <v/>
      </c>
      <c r="D9" s="25">
        <f>IF(C9="","",REPT("█",INT(C9/5)))</f>
        <v/>
      </c>
      <c r="E9" s="18">
        <f>IF(C9="","",IF(C9&gt;=85,"⚠ PATHOLOGICAL",IF(C9&gt;=75,"● TRAIT LEVEL",IF(C9&gt;=60,"○ Suggestive","— Normal"))))</f>
        <v/>
      </c>
      <c r="F9" s="5" t="n"/>
    </row>
    <row r="10">
      <c r="A10" s="18" t="inlineStr">
        <is>
          <t>2A</t>
        </is>
      </c>
      <c r="B10" s="16" t="inlineStr">
        <is>
          <t>Avoidant</t>
        </is>
      </c>
      <c r="C10" s="18">
        <f>'BR Scores &amp; Interpretation'!D13</f>
        <v/>
      </c>
      <c r="D10" s="25">
        <f>IF(C10="","",REPT("█",INT(C10/5)))</f>
        <v/>
      </c>
      <c r="E10" s="18">
        <f>IF(C10="","",IF(C10&gt;=85,"⚠ PATHOLOGICAL",IF(C10&gt;=75,"● TRAIT LEVEL",IF(C10&gt;=60,"○ Suggestive","— Normal"))))</f>
        <v/>
      </c>
      <c r="F10" s="5" t="n"/>
    </row>
    <row r="11">
      <c r="A11" s="18" t="inlineStr">
        <is>
          <t>2B</t>
        </is>
      </c>
      <c r="B11" s="16" t="inlineStr">
        <is>
          <t>Depressive</t>
        </is>
      </c>
      <c r="C11" s="18">
        <f>'BR Scores &amp; Interpretation'!D14</f>
        <v/>
      </c>
      <c r="D11" s="25">
        <f>IF(C11="","",REPT("█",INT(C11/5)))</f>
        <v/>
      </c>
      <c r="E11" s="18">
        <f>IF(C11="","",IF(C11&gt;=85,"⚠ PATHOLOGICAL",IF(C11&gt;=75,"● TRAIT LEVEL",IF(C11&gt;=60,"○ Suggestive","— Normal"))))</f>
        <v/>
      </c>
      <c r="F11" s="5" t="n"/>
    </row>
    <row r="12">
      <c r="A12" s="18" t="inlineStr">
        <is>
          <t>3</t>
        </is>
      </c>
      <c r="B12" s="16" t="inlineStr">
        <is>
          <t>Dependent</t>
        </is>
      </c>
      <c r="C12" s="18">
        <f>'BR Scores &amp; Interpretation'!D15</f>
        <v/>
      </c>
      <c r="D12" s="25">
        <f>IF(C12="","",REPT("█",INT(C12/5)))</f>
        <v/>
      </c>
      <c r="E12" s="18">
        <f>IF(C12="","",IF(C12&gt;=85,"⚠ PATHOLOGICAL",IF(C12&gt;=75,"● TRAIT LEVEL",IF(C12&gt;=60,"○ Suggestive","— Normal"))))</f>
        <v/>
      </c>
      <c r="F12" s="5" t="n"/>
    </row>
    <row r="13">
      <c r="A13" s="18" t="inlineStr">
        <is>
          <t>4</t>
        </is>
      </c>
      <c r="B13" s="16" t="inlineStr">
        <is>
          <t>Histrionic</t>
        </is>
      </c>
      <c r="C13" s="18">
        <f>'BR Scores &amp; Interpretation'!D16</f>
        <v/>
      </c>
      <c r="D13" s="25">
        <f>IF(C13="","",REPT("█",INT(C13/5)))</f>
        <v/>
      </c>
      <c r="E13" s="18">
        <f>IF(C13="","",IF(C13&gt;=85,"⚠ PATHOLOGICAL",IF(C13&gt;=75,"● TRAIT LEVEL",IF(C13&gt;=60,"○ Suggestive","— Normal"))))</f>
        <v/>
      </c>
      <c r="F13" s="5" t="n"/>
    </row>
    <row r="14">
      <c r="A14" s="18" t="inlineStr">
        <is>
          <t>5</t>
        </is>
      </c>
      <c r="B14" s="16" t="inlineStr">
        <is>
          <t>Narcissistic</t>
        </is>
      </c>
      <c r="C14" s="18">
        <f>'BR Scores &amp; Interpretation'!D17</f>
        <v/>
      </c>
      <c r="D14" s="25">
        <f>IF(C14="","",REPT("█",INT(C14/5)))</f>
        <v/>
      </c>
      <c r="E14" s="18">
        <f>IF(C14="","",IF(C14&gt;=85,"⚠ PATHOLOGICAL",IF(C14&gt;=75,"● TRAIT LEVEL",IF(C14&gt;=60,"○ Suggestive","— Normal"))))</f>
        <v/>
      </c>
      <c r="F14" s="5" t="n"/>
    </row>
    <row r="15">
      <c r="A15" s="18" t="inlineStr">
        <is>
          <t>6A</t>
        </is>
      </c>
      <c r="B15" s="16" t="inlineStr">
        <is>
          <t>Antisocial</t>
        </is>
      </c>
      <c r="C15" s="18">
        <f>'BR Scores &amp; Interpretation'!D18</f>
        <v/>
      </c>
      <c r="D15" s="25">
        <f>IF(C15="","",REPT("█",INT(C15/5)))</f>
        <v/>
      </c>
      <c r="E15" s="18">
        <f>IF(C15="","",IF(C15&gt;=85,"⚠ PATHOLOGICAL",IF(C15&gt;=75,"● TRAIT LEVEL",IF(C15&gt;=60,"○ Suggestive","— Normal"))))</f>
        <v/>
      </c>
      <c r="F15" s="5" t="n"/>
    </row>
    <row r="16">
      <c r="A16" s="18" t="inlineStr">
        <is>
          <t>6B</t>
        </is>
      </c>
      <c r="B16" s="16" t="inlineStr">
        <is>
          <t>Sadistic (Aggressive)</t>
        </is>
      </c>
      <c r="C16" s="18">
        <f>'BR Scores &amp; Interpretation'!D19</f>
        <v/>
      </c>
      <c r="D16" s="25">
        <f>IF(C16="","",REPT("█",INT(C16/5)))</f>
        <v/>
      </c>
      <c r="E16" s="18">
        <f>IF(C16="","",IF(C16&gt;=85,"⚠ PATHOLOGICAL",IF(C16&gt;=75,"● TRAIT LEVEL",IF(C16&gt;=60,"○ Suggestive","— Normal"))))</f>
        <v/>
      </c>
      <c r="F16" s="5" t="n"/>
    </row>
    <row r="17">
      <c r="A17" s="18" t="inlineStr">
        <is>
          <t>7</t>
        </is>
      </c>
      <c r="B17" s="16" t="inlineStr">
        <is>
          <t>Compulsive</t>
        </is>
      </c>
      <c r="C17" s="18">
        <f>'BR Scores &amp; Interpretation'!D20</f>
        <v/>
      </c>
      <c r="D17" s="25">
        <f>IF(C17="","",REPT("█",INT(C17/5)))</f>
        <v/>
      </c>
      <c r="E17" s="18">
        <f>IF(C17="","",IF(C17&gt;=85,"⚠ PATHOLOGICAL",IF(C17&gt;=75,"● TRAIT LEVEL",IF(C17&gt;=60,"○ Suggestive","— Normal"))))</f>
        <v/>
      </c>
      <c r="F17" s="5" t="n"/>
    </row>
    <row r="18">
      <c r="A18" s="18" t="inlineStr">
        <is>
          <t>8A</t>
        </is>
      </c>
      <c r="B18" s="16" t="inlineStr">
        <is>
          <t>Negativistic (Passive-Aggressive)</t>
        </is>
      </c>
      <c r="C18" s="18">
        <f>'BR Scores &amp; Interpretation'!D21</f>
        <v/>
      </c>
      <c r="D18" s="25">
        <f>IF(C18="","",REPT("█",INT(C18/5)))</f>
        <v/>
      </c>
      <c r="E18" s="18">
        <f>IF(C18="","",IF(C18&gt;=85,"⚠ PATHOLOGICAL",IF(C18&gt;=75,"● TRAIT LEVEL",IF(C18&gt;=60,"○ Suggestive","— Normal"))))</f>
        <v/>
      </c>
      <c r="F18" s="5" t="n"/>
    </row>
    <row r="19">
      <c r="A19" s="18" t="inlineStr">
        <is>
          <t>8B</t>
        </is>
      </c>
      <c r="B19" s="16" t="inlineStr">
        <is>
          <t>Masochistic (Self-Defeating)</t>
        </is>
      </c>
      <c r="C19" s="18">
        <f>'BR Scores &amp; Interpretation'!D22</f>
        <v/>
      </c>
      <c r="D19" s="25">
        <f>IF(C19="","",REPT("█",INT(C19/5)))</f>
        <v/>
      </c>
      <c r="E19" s="18">
        <f>IF(C19="","",IF(C19&gt;=85,"⚠ PATHOLOGICAL",IF(C19&gt;=75,"● TRAIT LEVEL",IF(C19&gt;=60,"○ Suggestive","— Normal"))))</f>
        <v/>
      </c>
      <c r="F19" s="5" t="n"/>
    </row>
    <row r="20">
      <c r="A20" s="18" t="inlineStr">
        <is>
          <t>S</t>
        </is>
      </c>
      <c r="B20" s="16" t="inlineStr">
        <is>
          <t>Schizotypal</t>
        </is>
      </c>
      <c r="C20" s="18">
        <f>'BR Scores &amp; Interpretation'!D25</f>
        <v/>
      </c>
      <c r="D20" s="25">
        <f>IF(C20="","",REPT("█",INT(C20/5)))</f>
        <v/>
      </c>
      <c r="E20" s="18">
        <f>IF(C20="","",IF(C20&gt;=85,"⚠ PATHOLOGICAL",IF(C20&gt;=75,"● TRAIT LEVEL",IF(C20&gt;=60,"○ Suggestive","— Normal"))))</f>
        <v/>
      </c>
      <c r="F20" s="5" t="n"/>
    </row>
    <row r="21">
      <c r="A21" s="18" t="inlineStr">
        <is>
          <t>C</t>
        </is>
      </c>
      <c r="B21" s="16" t="inlineStr">
        <is>
          <t>Borderline</t>
        </is>
      </c>
      <c r="C21" s="18">
        <f>'BR Scores &amp; Interpretation'!D26</f>
        <v/>
      </c>
      <c r="D21" s="25">
        <f>IF(C21="","",REPT("█",INT(C21/5)))</f>
        <v/>
      </c>
      <c r="E21" s="18">
        <f>IF(C21="","",IF(C21&gt;=85,"⚠ PATHOLOGICAL",IF(C21&gt;=75,"● TRAIT LEVEL",IF(C21&gt;=60,"○ Suggestive","— Normal"))))</f>
        <v/>
      </c>
      <c r="F21" s="5" t="n"/>
    </row>
    <row r="22">
      <c r="A22" s="18" t="inlineStr">
        <is>
          <t>P</t>
        </is>
      </c>
      <c r="B22" s="16" t="inlineStr">
        <is>
          <t>Paranoid</t>
        </is>
      </c>
      <c r="C22" s="18">
        <f>'BR Scores &amp; Interpretation'!D27</f>
        <v/>
      </c>
      <c r="D22" s="25">
        <f>IF(C22="","",REPT("█",INT(C22/5)))</f>
        <v/>
      </c>
      <c r="E22" s="18">
        <f>IF(C22="","",IF(C22&gt;=85,"⚠ PATHOLOGICAL",IF(C22&gt;=75,"● TRAIT LEVEL",IF(C22&gt;=60,"○ Suggestive","— Normal"))))</f>
        <v/>
      </c>
      <c r="F22" s="5" t="n"/>
    </row>
    <row r="23">
      <c r="A23" s="18" t="inlineStr">
        <is>
          <t>A</t>
        </is>
      </c>
      <c r="B23" s="16" t="inlineStr">
        <is>
          <t>Anxiety</t>
        </is>
      </c>
      <c r="C23" s="18">
        <f>'BR Scores &amp; Interpretation'!D30</f>
        <v/>
      </c>
      <c r="D23" s="25">
        <f>IF(C23="","",REPT("█",INT(C23/5)))</f>
        <v/>
      </c>
      <c r="E23" s="18">
        <f>IF(C23="","",IF(C23&gt;=85,"⚠ PATHOLOGICAL",IF(C23&gt;=75,"● TRAIT LEVEL",IF(C23&gt;=60,"○ Suggestive","— Normal"))))</f>
        <v/>
      </c>
      <c r="F23" s="5" t="n"/>
    </row>
    <row r="24">
      <c r="A24" s="18" t="inlineStr">
        <is>
          <t>H</t>
        </is>
      </c>
      <c r="B24" s="16" t="inlineStr">
        <is>
          <t>Somatoform</t>
        </is>
      </c>
      <c r="C24" s="18">
        <f>'BR Scores &amp; Interpretation'!D31</f>
        <v/>
      </c>
      <c r="D24" s="25">
        <f>IF(C24="","",REPT("█",INT(C24/5)))</f>
        <v/>
      </c>
      <c r="E24" s="18">
        <f>IF(C24="","",IF(C24&gt;=85,"⚠ PATHOLOGICAL",IF(C24&gt;=75,"● TRAIT LEVEL",IF(C24&gt;=60,"○ Suggestive","— Normal"))))</f>
        <v/>
      </c>
      <c r="F24" s="5" t="n"/>
    </row>
    <row r="25">
      <c r="A25" s="18" t="inlineStr">
        <is>
          <t>N</t>
        </is>
      </c>
      <c r="B25" s="16" t="inlineStr">
        <is>
          <t>Bipolar: Manic</t>
        </is>
      </c>
      <c r="C25" s="18">
        <f>'BR Scores &amp; Interpretation'!D32</f>
        <v/>
      </c>
      <c r="D25" s="25">
        <f>IF(C25="","",REPT("█",INT(C25/5)))</f>
        <v/>
      </c>
      <c r="E25" s="18">
        <f>IF(C25="","",IF(C25&gt;=85,"⚠ PATHOLOGICAL",IF(C25&gt;=75,"● TRAIT LEVEL",IF(C25&gt;=60,"○ Suggestive","— Normal"))))</f>
        <v/>
      </c>
      <c r="F25" s="5" t="n"/>
    </row>
    <row r="26">
      <c r="A26" s="18" t="inlineStr">
        <is>
          <t>D</t>
        </is>
      </c>
      <c r="B26" s="16" t="inlineStr">
        <is>
          <t>Dysthymia</t>
        </is>
      </c>
      <c r="C26" s="18">
        <f>'BR Scores &amp; Interpretation'!D33</f>
        <v/>
      </c>
      <c r="D26" s="25">
        <f>IF(C26="","",REPT("█",INT(C26/5)))</f>
        <v/>
      </c>
      <c r="E26" s="18">
        <f>IF(C26="","",IF(C26&gt;=85,"⚠ PATHOLOGICAL",IF(C26&gt;=75,"● TRAIT LEVEL",IF(C26&gt;=60,"○ Suggestive","— Normal"))))</f>
        <v/>
      </c>
      <c r="F26" s="5" t="n"/>
    </row>
    <row r="27">
      <c r="A27" s="18" t="inlineStr">
        <is>
          <t>B</t>
        </is>
      </c>
      <c r="B27" s="16" t="inlineStr">
        <is>
          <t>Alcohol Dependence</t>
        </is>
      </c>
      <c r="C27" s="18">
        <f>'BR Scores &amp; Interpretation'!D34</f>
        <v/>
      </c>
      <c r="D27" s="25">
        <f>IF(C27="","",REPT("█",INT(C27/5)))</f>
        <v/>
      </c>
      <c r="E27" s="18">
        <f>IF(C27="","",IF(C27&gt;=85,"⚠ PATHOLOGICAL",IF(C27&gt;=75,"● TRAIT LEVEL",IF(C27&gt;=60,"○ Suggestive","— Normal"))))</f>
        <v/>
      </c>
      <c r="F27" s="5" t="n"/>
    </row>
    <row r="28">
      <c r="A28" s="18" t="inlineStr">
        <is>
          <t>T</t>
        </is>
      </c>
      <c r="B28" s="16" t="inlineStr">
        <is>
          <t>Drug Dependence</t>
        </is>
      </c>
      <c r="C28" s="18">
        <f>'BR Scores &amp; Interpretation'!D35</f>
        <v/>
      </c>
      <c r="D28" s="25">
        <f>IF(C28="","",REPT("█",INT(C28/5)))</f>
        <v/>
      </c>
      <c r="E28" s="18">
        <f>IF(C28="","",IF(C28&gt;=85,"⚠ PATHOLOGICAL",IF(C28&gt;=75,"● TRAIT LEVEL",IF(C28&gt;=60,"○ Suggestive","— Normal"))))</f>
        <v/>
      </c>
      <c r="F28" s="5" t="n"/>
    </row>
    <row r="29">
      <c r="A29" s="18" t="inlineStr">
        <is>
          <t>R</t>
        </is>
      </c>
      <c r="B29" s="16" t="inlineStr">
        <is>
          <t>Post-Traumatic Stress Disorder</t>
        </is>
      </c>
      <c r="C29" s="18">
        <f>'BR Scores &amp; Interpretation'!D36</f>
        <v/>
      </c>
      <c r="D29" s="25">
        <f>IF(C29="","",REPT("█",INT(C29/5)))</f>
        <v/>
      </c>
      <c r="E29" s="18">
        <f>IF(C29="","",IF(C29&gt;=85,"⚠ PATHOLOGICAL",IF(C29&gt;=75,"● TRAIT LEVEL",IF(C29&gt;=60,"○ Suggestive","— Normal"))))</f>
        <v/>
      </c>
      <c r="F29" s="5" t="n"/>
    </row>
    <row r="30">
      <c r="A30" s="18" t="inlineStr">
        <is>
          <t>SS</t>
        </is>
      </c>
      <c r="B30" s="16" t="inlineStr">
        <is>
          <t>Thought Disorder</t>
        </is>
      </c>
      <c r="C30" s="18">
        <f>'BR Scores &amp; Interpretation'!D39</f>
        <v/>
      </c>
      <c r="D30" s="25">
        <f>IF(C30="","",REPT("█",INT(C30/5)))</f>
        <v/>
      </c>
      <c r="E30" s="18">
        <f>IF(C30="","",IF(C30&gt;=85,"⚠ PATHOLOGICAL",IF(C30&gt;=75,"● TRAIT LEVEL",IF(C30&gt;=60,"○ Suggestive","— Normal"))))</f>
        <v/>
      </c>
      <c r="F30" s="5" t="n"/>
    </row>
    <row r="31">
      <c r="A31" s="18" t="inlineStr">
        <is>
          <t>CC</t>
        </is>
      </c>
      <c r="B31" s="16" t="inlineStr">
        <is>
          <t>Major Depression</t>
        </is>
      </c>
      <c r="C31" s="18">
        <f>'BR Scores &amp; Interpretation'!D40</f>
        <v/>
      </c>
      <c r="D31" s="25">
        <f>IF(C31="","",REPT("█",INT(C31/5)))</f>
        <v/>
      </c>
      <c r="E31" s="18">
        <f>IF(C31="","",IF(C31&gt;=85,"⚠ PATHOLOGICAL",IF(C31&gt;=75,"● TRAIT LEVEL",IF(C31&gt;=60,"○ Suggestive","— Normal"))))</f>
        <v/>
      </c>
      <c r="F31" s="5" t="n"/>
    </row>
    <row r="32">
      <c r="A32" s="18" t="inlineStr">
        <is>
          <t>PP</t>
        </is>
      </c>
      <c r="B32" s="16" t="inlineStr">
        <is>
          <t>Delusional Disorder</t>
        </is>
      </c>
      <c r="C32" s="18">
        <f>'BR Scores &amp; Interpretation'!D41</f>
        <v/>
      </c>
      <c r="D32" s="25">
        <f>IF(C32="","",REPT("█",INT(C32/5)))</f>
        <v/>
      </c>
      <c r="E32" s="18">
        <f>IF(C32="","",IF(C32&gt;=85,"⚠ PATHOLOGICAL",IF(C32&gt;=75,"● TRAIT LEVEL",IF(C32&gt;=60,"○ Suggestive","— Normal"))))</f>
        <v/>
      </c>
      <c r="F32" s="5" t="n"/>
    </row>
  </sheetData>
  <mergeCells count="2">
    <mergeCell ref="A2:F2"/>
    <mergeCell ref="A1:F1"/>
  </mergeCells>
  <conditionalFormatting sqref="C5:C32">
    <cfRule type="cellIs" priority="1" operator="greaterThanOrEqual" dxfId="0">
      <formula>85</formula>
    </cfRule>
    <cfRule type="cellIs" priority="2" operator="between" dxfId="1">
      <formula>75</formula>
      <formula>84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MCMI-III CLINICAL REPORT TEMPLATE</t>
        </is>
      </c>
    </row>
    <row r="3">
      <c r="A3" s="3" t="inlineStr">
        <is>
          <t>TEST VALIDITY</t>
        </is>
      </c>
    </row>
    <row r="4" ht="50" customHeight="1">
      <c r="A4" s="6" t="inlineStr">
        <is>
          <t>Based on the Modifying Indices, the protocol is [VALID/INVALID]. The Disclosure score (X) suggests [interpretation]. The Desirability score (Y) indicates [interpretation]. The Debasement score (Z) reflects [interpretation].</t>
        </is>
      </c>
    </row>
    <row r="6">
      <c r="A6" s="3" t="inlineStr">
        <is>
          <t>CLINICAL PERSONALITY PATTERN</t>
        </is>
      </c>
    </row>
    <row r="7" ht="50" customHeight="1">
      <c r="A7" s="6" t="inlineStr">
        <is>
          <t>The personality profile reveals predominant features of [scale names with BR≥75]. These elevations suggest [personality description]. The individual demonstrates [behavioral patterns].</t>
        </is>
      </c>
    </row>
    <row r="9">
      <c r="A9" s="3" t="inlineStr">
        <is>
          <t>SEVERE PERSONALITY PATHOLOGY</t>
        </is>
      </c>
    </row>
    <row r="10" ht="50" customHeight="1">
      <c r="A10" s="6" t="inlineStr">
        <is>
          <t>Regarding severe personality pathology, the profile [shows/does not show] significant elevations. [If elevated: The elevation on Scale [X] suggests...]. Features include [description].</t>
        </is>
      </c>
    </row>
    <row r="12">
      <c r="A12" s="3" t="inlineStr">
        <is>
          <t>CLINICAL SYNDROMES</t>
        </is>
      </c>
    </row>
    <row r="13" ht="50" customHeight="1">
      <c r="A13" s="6" t="inlineStr">
        <is>
          <t>The clinical syndrome scales indicate [elevated scales]. The individual experiences [symptom descriptions]. These findings are consistent with [clinical observations].</t>
        </is>
      </c>
    </row>
    <row r="15">
      <c r="A15" s="3" t="inlineStr">
        <is>
          <t>SEVERE CLINICAL SYNDROMES</t>
        </is>
      </c>
    </row>
    <row r="16" ht="50" customHeight="1">
      <c r="A16" s="6" t="inlineStr">
        <is>
          <t>Severe clinical syndrome analysis [reveals/does not reveal] significant concerns. [If elevated: The elevation on [Scale] suggests...]. Clinical implications include [description].</t>
        </is>
      </c>
    </row>
    <row r="18">
      <c r="A18" s="3" t="inlineStr">
        <is>
          <t>INTEGRATION &amp; RECOMMENDATIONS</t>
        </is>
      </c>
    </row>
    <row r="19" ht="50" customHeight="1">
      <c r="A19" s="6" t="inlineStr">
        <is>
          <t>Overall, the MCMI-III profile suggests [integrated summary]. Key clinical concerns include: [list]. Treatment recommendations: [list]. Prognosis considerations: [description].</t>
        </is>
      </c>
    </row>
  </sheetData>
  <mergeCells count="7">
    <mergeCell ref="A1:D1"/>
    <mergeCell ref="A4:D4"/>
    <mergeCell ref="A7:D7"/>
    <mergeCell ref="A16:D16"/>
    <mergeCell ref="A19:D19"/>
    <mergeCell ref="A10:D10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</cols>
  <sheetData>
    <row r="1">
      <c r="A1" s="12" t="inlineStr">
        <is>
          <t>MCMI-III ITEM RESPONSES (175 Items)</t>
        </is>
      </c>
    </row>
    <row r="2">
      <c r="A2" s="13" t="inlineStr">
        <is>
          <t>Enter T (True) or F (False) for each item</t>
        </is>
      </c>
    </row>
    <row r="4">
      <c r="A4" s="7" t="inlineStr">
        <is>
          <t>Item #</t>
        </is>
      </c>
      <c r="B4" s="7" t="inlineStr">
        <is>
          <t>Response (T/F)</t>
        </is>
      </c>
      <c r="C4" s="7" t="inlineStr">
        <is>
          <t>Item #</t>
        </is>
      </c>
      <c r="D4" s="7" t="inlineStr">
        <is>
          <t>Response (T/F)</t>
        </is>
      </c>
    </row>
    <row r="5">
      <c r="A5" s="18" t="n">
        <v>1</v>
      </c>
      <c r="B5" s="17" t="n"/>
      <c r="C5" s="18" t="n">
        <v>89</v>
      </c>
      <c r="D5" s="17" t="n"/>
    </row>
    <row r="6">
      <c r="A6" s="18" t="n">
        <v>2</v>
      </c>
      <c r="B6" s="17" t="n"/>
      <c r="C6" s="18" t="n">
        <v>90</v>
      </c>
      <c r="D6" s="17" t="n"/>
    </row>
    <row r="7">
      <c r="A7" s="18" t="n">
        <v>3</v>
      </c>
      <c r="B7" s="17" t="n"/>
      <c r="C7" s="18" t="n">
        <v>91</v>
      </c>
      <c r="D7" s="17" t="n"/>
    </row>
    <row r="8">
      <c r="A8" s="18" t="n">
        <v>4</v>
      </c>
      <c r="B8" s="17" t="n"/>
      <c r="C8" s="18" t="n">
        <v>92</v>
      </c>
      <c r="D8" s="17" t="n"/>
    </row>
    <row r="9">
      <c r="A9" s="18" t="n">
        <v>5</v>
      </c>
      <c r="B9" s="17" t="n"/>
      <c r="C9" s="18" t="n">
        <v>93</v>
      </c>
      <c r="D9" s="17" t="n"/>
    </row>
    <row r="10">
      <c r="A10" s="18" t="n">
        <v>6</v>
      </c>
      <c r="B10" s="17" t="n"/>
      <c r="C10" s="18" t="n">
        <v>94</v>
      </c>
      <c r="D10" s="17" t="n"/>
    </row>
    <row r="11">
      <c r="A11" s="18" t="n">
        <v>7</v>
      </c>
      <c r="B11" s="17" t="n"/>
      <c r="C11" s="18" t="n">
        <v>95</v>
      </c>
      <c r="D11" s="17" t="n"/>
    </row>
    <row r="12">
      <c r="A12" s="18" t="n">
        <v>8</v>
      </c>
      <c r="B12" s="17" t="n"/>
      <c r="C12" s="18" t="n">
        <v>96</v>
      </c>
      <c r="D12" s="17" t="n"/>
    </row>
    <row r="13">
      <c r="A13" s="18" t="n">
        <v>9</v>
      </c>
      <c r="B13" s="17" t="n"/>
      <c r="C13" s="18" t="n">
        <v>97</v>
      </c>
      <c r="D13" s="17" t="n"/>
    </row>
    <row r="14">
      <c r="A14" s="18" t="n">
        <v>10</v>
      </c>
      <c r="B14" s="17" t="n"/>
      <c r="C14" s="18" t="n">
        <v>98</v>
      </c>
      <c r="D14" s="17" t="n"/>
    </row>
    <row r="15">
      <c r="A15" s="18" t="n">
        <v>11</v>
      </c>
      <c r="B15" s="17" t="n"/>
      <c r="C15" s="18" t="n">
        <v>99</v>
      </c>
      <c r="D15" s="17" t="n"/>
    </row>
    <row r="16">
      <c r="A16" s="18" t="n">
        <v>12</v>
      </c>
      <c r="B16" s="17" t="n"/>
      <c r="C16" s="18" t="n">
        <v>100</v>
      </c>
      <c r="D16" s="17" t="n"/>
    </row>
    <row r="17">
      <c r="A17" s="18" t="n">
        <v>13</v>
      </c>
      <c r="B17" s="17" t="n"/>
      <c r="C17" s="18" t="n">
        <v>101</v>
      </c>
      <c r="D17" s="17" t="n"/>
    </row>
    <row r="18">
      <c r="A18" s="18" t="n">
        <v>14</v>
      </c>
      <c r="B18" s="17" t="n"/>
      <c r="C18" s="18" t="n">
        <v>102</v>
      </c>
      <c r="D18" s="17" t="n"/>
    </row>
    <row r="19">
      <c r="A19" s="18" t="n">
        <v>15</v>
      </c>
      <c r="B19" s="17" t="n"/>
      <c r="C19" s="18" t="n">
        <v>103</v>
      </c>
      <c r="D19" s="17" t="n"/>
    </row>
    <row r="20">
      <c r="A20" s="18" t="n">
        <v>16</v>
      </c>
      <c r="B20" s="17" t="n"/>
      <c r="C20" s="18" t="n">
        <v>104</v>
      </c>
      <c r="D20" s="17" t="n"/>
    </row>
    <row r="21">
      <c r="A21" s="18" t="n">
        <v>17</v>
      </c>
      <c r="B21" s="17" t="n"/>
      <c r="C21" s="18" t="n">
        <v>105</v>
      </c>
      <c r="D21" s="17" t="n"/>
    </row>
    <row r="22">
      <c r="A22" s="18" t="n">
        <v>18</v>
      </c>
      <c r="B22" s="17" t="n"/>
      <c r="C22" s="18" t="n">
        <v>106</v>
      </c>
      <c r="D22" s="17" t="n"/>
    </row>
    <row r="23">
      <c r="A23" s="18" t="n">
        <v>19</v>
      </c>
      <c r="B23" s="17" t="n"/>
      <c r="C23" s="18" t="n">
        <v>107</v>
      </c>
      <c r="D23" s="17" t="n"/>
    </row>
    <row r="24">
      <c r="A24" s="18" t="n">
        <v>20</v>
      </c>
      <c r="B24" s="17" t="n"/>
      <c r="C24" s="18" t="n">
        <v>108</v>
      </c>
      <c r="D24" s="17" t="n"/>
    </row>
    <row r="25">
      <c r="A25" s="18" t="n">
        <v>21</v>
      </c>
      <c r="B25" s="17" t="n"/>
      <c r="C25" s="18" t="n">
        <v>109</v>
      </c>
      <c r="D25" s="17" t="n"/>
    </row>
    <row r="26">
      <c r="A26" s="18" t="n">
        <v>22</v>
      </c>
      <c r="B26" s="17" t="n"/>
      <c r="C26" s="18" t="n">
        <v>110</v>
      </c>
      <c r="D26" s="17" t="n"/>
    </row>
    <row r="27">
      <c r="A27" s="18" t="n">
        <v>23</v>
      </c>
      <c r="B27" s="17" t="n"/>
      <c r="C27" s="18" t="n">
        <v>111</v>
      </c>
      <c r="D27" s="17" t="n"/>
    </row>
    <row r="28">
      <c r="A28" s="18" t="n">
        <v>24</v>
      </c>
      <c r="B28" s="17" t="n"/>
      <c r="C28" s="18" t="n">
        <v>112</v>
      </c>
      <c r="D28" s="17" t="n"/>
    </row>
    <row r="29">
      <c r="A29" s="18" t="n">
        <v>25</v>
      </c>
      <c r="B29" s="17" t="n"/>
      <c r="C29" s="18" t="n">
        <v>113</v>
      </c>
      <c r="D29" s="17" t="n"/>
    </row>
    <row r="30">
      <c r="A30" s="18" t="n">
        <v>26</v>
      </c>
      <c r="B30" s="17" t="n"/>
      <c r="C30" s="18" t="n">
        <v>114</v>
      </c>
      <c r="D30" s="17" t="n"/>
    </row>
    <row r="31">
      <c r="A31" s="18" t="n">
        <v>27</v>
      </c>
      <c r="B31" s="17" t="n"/>
      <c r="C31" s="18" t="n">
        <v>115</v>
      </c>
      <c r="D31" s="17" t="n"/>
    </row>
    <row r="32">
      <c r="A32" s="18" t="n">
        <v>28</v>
      </c>
      <c r="B32" s="17" t="n"/>
      <c r="C32" s="18" t="n">
        <v>116</v>
      </c>
      <c r="D32" s="17" t="n"/>
    </row>
    <row r="33">
      <c r="A33" s="18" t="n">
        <v>29</v>
      </c>
      <c r="B33" s="17" t="n"/>
      <c r="C33" s="18" t="n">
        <v>117</v>
      </c>
      <c r="D33" s="17" t="n"/>
    </row>
    <row r="34">
      <c r="A34" s="18" t="n">
        <v>30</v>
      </c>
      <c r="B34" s="17" t="n"/>
      <c r="C34" s="18" t="n">
        <v>118</v>
      </c>
      <c r="D34" s="17" t="n"/>
    </row>
    <row r="35">
      <c r="A35" s="18" t="n">
        <v>31</v>
      </c>
      <c r="B35" s="17" t="n"/>
      <c r="C35" s="18" t="n">
        <v>119</v>
      </c>
      <c r="D35" s="17" t="n"/>
    </row>
    <row r="36">
      <c r="A36" s="18" t="n">
        <v>32</v>
      </c>
      <c r="B36" s="17" t="n"/>
      <c r="C36" s="18" t="n">
        <v>120</v>
      </c>
      <c r="D36" s="17" t="n"/>
    </row>
    <row r="37">
      <c r="A37" s="18" t="n">
        <v>33</v>
      </c>
      <c r="B37" s="17" t="n"/>
      <c r="C37" s="18" t="n">
        <v>121</v>
      </c>
      <c r="D37" s="17" t="n"/>
    </row>
    <row r="38">
      <c r="A38" s="18" t="n">
        <v>34</v>
      </c>
      <c r="B38" s="17" t="n"/>
      <c r="C38" s="18" t="n">
        <v>122</v>
      </c>
      <c r="D38" s="17" t="n"/>
    </row>
    <row r="39">
      <c r="A39" s="18" t="n">
        <v>35</v>
      </c>
      <c r="B39" s="17" t="n"/>
      <c r="C39" s="18" t="n">
        <v>123</v>
      </c>
      <c r="D39" s="17" t="n"/>
    </row>
    <row r="40">
      <c r="A40" s="18" t="n">
        <v>36</v>
      </c>
      <c r="B40" s="17" t="n"/>
      <c r="C40" s="18" t="n">
        <v>124</v>
      </c>
      <c r="D40" s="17" t="n"/>
    </row>
    <row r="41">
      <c r="A41" s="18" t="n">
        <v>37</v>
      </c>
      <c r="B41" s="17" t="n"/>
      <c r="C41" s="18" t="n">
        <v>125</v>
      </c>
      <c r="D41" s="17" t="n"/>
    </row>
    <row r="42">
      <c r="A42" s="18" t="n">
        <v>38</v>
      </c>
      <c r="B42" s="17" t="n"/>
      <c r="C42" s="18" t="n">
        <v>126</v>
      </c>
      <c r="D42" s="17" t="n"/>
    </row>
    <row r="43">
      <c r="A43" s="18" t="n">
        <v>39</v>
      </c>
      <c r="B43" s="17" t="n"/>
      <c r="C43" s="18" t="n">
        <v>127</v>
      </c>
      <c r="D43" s="17" t="n"/>
    </row>
    <row r="44">
      <c r="A44" s="18" t="n">
        <v>40</v>
      </c>
      <c r="B44" s="17" t="n"/>
      <c r="C44" s="18" t="n">
        <v>128</v>
      </c>
      <c r="D44" s="17" t="n"/>
    </row>
    <row r="45">
      <c r="A45" s="18" t="n">
        <v>41</v>
      </c>
      <c r="B45" s="17" t="n"/>
      <c r="C45" s="18" t="n">
        <v>129</v>
      </c>
      <c r="D45" s="17" t="n"/>
    </row>
    <row r="46">
      <c r="A46" s="18" t="n">
        <v>42</v>
      </c>
      <c r="B46" s="17" t="n"/>
      <c r="C46" s="18" t="n">
        <v>130</v>
      </c>
      <c r="D46" s="17" t="n"/>
    </row>
    <row r="47">
      <c r="A47" s="18" t="n">
        <v>43</v>
      </c>
      <c r="B47" s="17" t="n"/>
      <c r="C47" s="18" t="n">
        <v>131</v>
      </c>
      <c r="D47" s="17" t="n"/>
    </row>
    <row r="48">
      <c r="A48" s="18" t="n">
        <v>44</v>
      </c>
      <c r="B48" s="17" t="n"/>
      <c r="C48" s="18" t="n">
        <v>132</v>
      </c>
      <c r="D48" s="17" t="n"/>
    </row>
    <row r="49">
      <c r="A49" s="18" t="n">
        <v>45</v>
      </c>
      <c r="B49" s="17" t="n"/>
      <c r="C49" s="18" t="n">
        <v>133</v>
      </c>
      <c r="D49" s="17" t="n"/>
    </row>
    <row r="50">
      <c r="A50" s="18" t="n">
        <v>46</v>
      </c>
      <c r="B50" s="17" t="n"/>
      <c r="C50" s="18" t="n">
        <v>134</v>
      </c>
      <c r="D50" s="17" t="n"/>
    </row>
    <row r="51">
      <c r="A51" s="18" t="n">
        <v>47</v>
      </c>
      <c r="B51" s="17" t="n"/>
      <c r="C51" s="18" t="n">
        <v>135</v>
      </c>
      <c r="D51" s="17" t="n"/>
    </row>
    <row r="52">
      <c r="A52" s="18" t="n">
        <v>48</v>
      </c>
      <c r="B52" s="17" t="n"/>
      <c r="C52" s="18" t="n">
        <v>136</v>
      </c>
      <c r="D52" s="17" t="n"/>
    </row>
    <row r="53">
      <c r="A53" s="18" t="n">
        <v>49</v>
      </c>
      <c r="B53" s="17" t="n"/>
      <c r="C53" s="18" t="n">
        <v>137</v>
      </c>
      <c r="D53" s="17" t="n"/>
    </row>
    <row r="54">
      <c r="A54" s="18" t="n">
        <v>50</v>
      </c>
      <c r="B54" s="17" t="n"/>
      <c r="C54" s="18" t="n">
        <v>138</v>
      </c>
      <c r="D54" s="17" t="n"/>
    </row>
    <row r="55">
      <c r="A55" s="18" t="n">
        <v>51</v>
      </c>
      <c r="B55" s="17" t="n"/>
      <c r="C55" s="18" t="n">
        <v>139</v>
      </c>
      <c r="D55" s="17" t="n"/>
    </row>
    <row r="56">
      <c r="A56" s="18" t="n">
        <v>52</v>
      </c>
      <c r="B56" s="17" t="n"/>
      <c r="C56" s="18" t="n">
        <v>140</v>
      </c>
      <c r="D56" s="17" t="n"/>
    </row>
    <row r="57">
      <c r="A57" s="18" t="n">
        <v>53</v>
      </c>
      <c r="B57" s="17" t="n"/>
      <c r="C57" s="18" t="n">
        <v>141</v>
      </c>
      <c r="D57" s="17" t="n"/>
    </row>
    <row r="58">
      <c r="A58" s="18" t="n">
        <v>54</v>
      </c>
      <c r="B58" s="17" t="n"/>
      <c r="C58" s="18" t="n">
        <v>142</v>
      </c>
      <c r="D58" s="17" t="n"/>
    </row>
    <row r="59">
      <c r="A59" s="18" t="n">
        <v>55</v>
      </c>
      <c r="B59" s="17" t="n"/>
      <c r="C59" s="18" t="n">
        <v>143</v>
      </c>
      <c r="D59" s="17" t="n"/>
    </row>
    <row r="60">
      <c r="A60" s="18" t="n">
        <v>56</v>
      </c>
      <c r="B60" s="17" t="n"/>
      <c r="C60" s="18" t="n">
        <v>144</v>
      </c>
      <c r="D60" s="17" t="n"/>
    </row>
    <row r="61">
      <c r="A61" s="18" t="n">
        <v>57</v>
      </c>
      <c r="B61" s="17" t="n"/>
      <c r="C61" s="18" t="n">
        <v>145</v>
      </c>
      <c r="D61" s="17" t="n"/>
    </row>
    <row r="62">
      <c r="A62" s="18" t="n">
        <v>58</v>
      </c>
      <c r="B62" s="17" t="n"/>
      <c r="C62" s="18" t="n">
        <v>146</v>
      </c>
      <c r="D62" s="17" t="n"/>
    </row>
    <row r="63">
      <c r="A63" s="18" t="n">
        <v>59</v>
      </c>
      <c r="B63" s="17" t="n"/>
      <c r="C63" s="18" t="n">
        <v>147</v>
      </c>
      <c r="D63" s="17" t="n"/>
    </row>
    <row r="64">
      <c r="A64" s="18" t="n">
        <v>60</v>
      </c>
      <c r="B64" s="17" t="n"/>
      <c r="C64" s="18" t="n">
        <v>148</v>
      </c>
      <c r="D64" s="17" t="n"/>
    </row>
    <row r="65">
      <c r="A65" s="18" t="n">
        <v>61</v>
      </c>
      <c r="B65" s="17" t="n"/>
      <c r="C65" s="18" t="n">
        <v>149</v>
      </c>
      <c r="D65" s="17" t="n"/>
    </row>
    <row r="66">
      <c r="A66" s="18" t="n">
        <v>62</v>
      </c>
      <c r="B66" s="17" t="n"/>
      <c r="C66" s="18" t="n">
        <v>150</v>
      </c>
      <c r="D66" s="17" t="n"/>
    </row>
    <row r="67">
      <c r="A67" s="18" t="n">
        <v>63</v>
      </c>
      <c r="B67" s="17" t="n"/>
      <c r="C67" s="18" t="n">
        <v>151</v>
      </c>
      <c r="D67" s="17" t="n"/>
    </row>
    <row r="68">
      <c r="A68" s="18" t="n">
        <v>64</v>
      </c>
      <c r="B68" s="17" t="n"/>
      <c r="C68" s="18" t="n">
        <v>152</v>
      </c>
      <c r="D68" s="17" t="n"/>
    </row>
    <row r="69">
      <c r="A69" s="18" t="n">
        <v>65</v>
      </c>
      <c r="B69" s="17" t="n"/>
      <c r="C69" s="18" t="n">
        <v>153</v>
      </c>
      <c r="D69" s="17" t="n"/>
    </row>
    <row r="70">
      <c r="A70" s="18" t="n">
        <v>66</v>
      </c>
      <c r="B70" s="17" t="n"/>
      <c r="C70" s="18" t="n">
        <v>154</v>
      </c>
      <c r="D70" s="17" t="n"/>
    </row>
    <row r="71">
      <c r="A71" s="18" t="n">
        <v>67</v>
      </c>
      <c r="B71" s="17" t="n"/>
      <c r="C71" s="18" t="n">
        <v>155</v>
      </c>
      <c r="D71" s="17" t="n"/>
    </row>
    <row r="72">
      <c r="A72" s="18" t="n">
        <v>68</v>
      </c>
      <c r="B72" s="17" t="n"/>
      <c r="C72" s="18" t="n">
        <v>156</v>
      </c>
      <c r="D72" s="17" t="n"/>
    </row>
    <row r="73">
      <c r="A73" s="18" t="n">
        <v>69</v>
      </c>
      <c r="B73" s="17" t="n"/>
      <c r="C73" s="18" t="n">
        <v>157</v>
      </c>
      <c r="D73" s="17" t="n"/>
    </row>
    <row r="74">
      <c r="A74" s="18" t="n">
        <v>70</v>
      </c>
      <c r="B74" s="17" t="n"/>
      <c r="C74" s="18" t="n">
        <v>158</v>
      </c>
      <c r="D74" s="17" t="n"/>
    </row>
    <row r="75">
      <c r="A75" s="18" t="n">
        <v>71</v>
      </c>
      <c r="B75" s="17" t="n"/>
      <c r="C75" s="18" t="n">
        <v>159</v>
      </c>
      <c r="D75" s="17" t="n"/>
    </row>
    <row r="76">
      <c r="A76" s="18" t="n">
        <v>72</v>
      </c>
      <c r="B76" s="17" t="n"/>
      <c r="C76" s="18" t="n">
        <v>160</v>
      </c>
      <c r="D76" s="17" t="n"/>
    </row>
    <row r="77">
      <c r="A77" s="18" t="n">
        <v>73</v>
      </c>
      <c r="B77" s="17" t="n"/>
      <c r="C77" s="18" t="n">
        <v>161</v>
      </c>
      <c r="D77" s="17" t="n"/>
    </row>
    <row r="78">
      <c r="A78" s="18" t="n">
        <v>74</v>
      </c>
      <c r="B78" s="17" t="n"/>
      <c r="C78" s="18" t="n">
        <v>162</v>
      </c>
      <c r="D78" s="17" t="n"/>
    </row>
    <row r="79">
      <c r="A79" s="18" t="n">
        <v>75</v>
      </c>
      <c r="B79" s="17" t="n"/>
      <c r="C79" s="18" t="n">
        <v>163</v>
      </c>
      <c r="D79" s="17" t="n"/>
    </row>
    <row r="80">
      <c r="A80" s="18" t="n">
        <v>76</v>
      </c>
      <c r="B80" s="17" t="n"/>
      <c r="C80" s="18" t="n">
        <v>164</v>
      </c>
      <c r="D80" s="17" t="n"/>
    </row>
    <row r="81">
      <c r="A81" s="18" t="n">
        <v>77</v>
      </c>
      <c r="B81" s="17" t="n"/>
      <c r="C81" s="18" t="n">
        <v>165</v>
      </c>
      <c r="D81" s="17" t="n"/>
    </row>
    <row r="82">
      <c r="A82" s="18" t="n">
        <v>78</v>
      </c>
      <c r="B82" s="17" t="n"/>
      <c r="C82" s="18" t="n">
        <v>166</v>
      </c>
      <c r="D82" s="17" t="n"/>
    </row>
    <row r="83">
      <c r="A83" s="18" t="n">
        <v>79</v>
      </c>
      <c r="B83" s="17" t="n"/>
      <c r="C83" s="18" t="n">
        <v>167</v>
      </c>
      <c r="D83" s="17" t="n"/>
    </row>
    <row r="84">
      <c r="A84" s="18" t="n">
        <v>80</v>
      </c>
      <c r="B84" s="17" t="n"/>
      <c r="C84" s="18" t="n">
        <v>168</v>
      </c>
      <c r="D84" s="17" t="n"/>
    </row>
    <row r="85">
      <c r="A85" s="18" t="n">
        <v>81</v>
      </c>
      <c r="B85" s="17" t="n"/>
      <c r="C85" s="18" t="n">
        <v>169</v>
      </c>
      <c r="D85" s="17" t="n"/>
    </row>
    <row r="86">
      <c r="A86" s="18" t="n">
        <v>82</v>
      </c>
      <c r="B86" s="17" t="n"/>
      <c r="C86" s="18" t="n">
        <v>170</v>
      </c>
      <c r="D86" s="17" t="n"/>
    </row>
    <row r="87">
      <c r="A87" s="18" t="n">
        <v>83</v>
      </c>
      <c r="B87" s="17" t="n"/>
      <c r="C87" s="18" t="n">
        <v>171</v>
      </c>
      <c r="D87" s="17" t="n"/>
    </row>
    <row r="88">
      <c r="A88" s="18" t="n">
        <v>84</v>
      </c>
      <c r="B88" s="17" t="n"/>
      <c r="C88" s="18" t="n">
        <v>172</v>
      </c>
      <c r="D88" s="17" t="n"/>
    </row>
    <row r="89">
      <c r="A89" s="18" t="n">
        <v>85</v>
      </c>
      <c r="B89" s="17" t="n"/>
      <c r="C89" s="18" t="n">
        <v>173</v>
      </c>
      <c r="D89" s="17" t="n"/>
    </row>
    <row r="90">
      <c r="A90" s="18" t="n">
        <v>86</v>
      </c>
      <c r="B90" s="17" t="n"/>
      <c r="C90" s="18" t="n">
        <v>174</v>
      </c>
      <c r="D90" s="17" t="n"/>
    </row>
    <row r="91">
      <c r="A91" s="18" t="n">
        <v>87</v>
      </c>
      <c r="B91" s="17" t="n"/>
      <c r="C91" s="18" t="n">
        <v>175</v>
      </c>
      <c r="D91" s="17" t="n"/>
    </row>
    <row r="92">
      <c r="A92" s="18" t="n">
        <v>88</v>
      </c>
      <c r="B92" s="17" t="n"/>
    </row>
  </sheetData>
  <mergeCells count="2">
    <mergeCell ref="A1:D1"/>
    <mergeCell ref="A2:D2"/>
  </mergeCells>
  <dataValidations count="1">
    <dataValidation sqref="B5:B92 D5:D92" showDropDown="0" showInputMessage="0" showErrorMessage="0" allowBlank="1" errorTitle="Invalid Response" error="Please enter T (True) or F (False) only" type="list">
      <formula1>"T,F"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2" customWidth="1" min="4" max="4"/>
    <col width="55" customWidth="1" min="5" max="5"/>
  </cols>
  <sheetData>
    <row r="1">
      <c r="A1" s="12" t="inlineStr">
        <is>
          <t>MCMI-III SCORING REFERENCE &amp; SCALE DESCRIPTIONS</t>
        </is>
      </c>
    </row>
    <row r="3">
      <c r="A3" s="22" t="inlineStr">
        <is>
          <t>Scale Code</t>
        </is>
      </c>
      <c r="B3" s="22" t="inlineStr">
        <is>
          <t>Scale Name</t>
        </is>
      </c>
      <c r="C3" s="22" t="inlineStr">
        <is>
          <t>Category</t>
        </is>
      </c>
      <c r="D3" s="22" t="inlineStr">
        <is>
          <t>Items</t>
        </is>
      </c>
      <c r="E3" s="22" t="inlineStr">
        <is>
          <t>Description</t>
        </is>
      </c>
    </row>
    <row r="4">
      <c r="A4" s="15" t="inlineStr">
        <is>
          <t>MODIFYING INDICES</t>
        </is>
      </c>
    </row>
    <row r="5">
      <c r="A5" s="18" t="inlineStr">
        <is>
          <t>X</t>
        </is>
      </c>
      <c r="B5" s="16" t="inlineStr">
        <is>
          <t>Disclosure</t>
        </is>
      </c>
      <c r="C5" s="18" t="inlineStr">
        <is>
          <t>Validity</t>
        </is>
      </c>
      <c r="D5" s="18" t="inlineStr">
        <is>
          <t>~178 items</t>
        </is>
      </c>
      <c r="E5" s="24" t="inlineStr">
        <is>
          <t>Openness/willingness to reveal personal information</t>
        </is>
      </c>
    </row>
    <row r="6">
      <c r="A6" s="18" t="inlineStr">
        <is>
          <t>Y</t>
        </is>
      </c>
      <c r="B6" s="16" t="inlineStr">
        <is>
          <t>Desirability</t>
        </is>
      </c>
      <c r="C6" s="18" t="inlineStr">
        <is>
          <t>Validity</t>
        </is>
      </c>
      <c r="D6" s="18" t="inlineStr">
        <is>
          <t>21 items</t>
        </is>
      </c>
      <c r="E6" s="24" t="inlineStr">
        <is>
          <t>Tendency to present oneself in a favorable light</t>
        </is>
      </c>
    </row>
    <row r="7">
      <c r="A7" s="18" t="inlineStr">
        <is>
          <t>Z</t>
        </is>
      </c>
      <c r="B7" s="16" t="inlineStr">
        <is>
          <t>Debasement</t>
        </is>
      </c>
      <c r="C7" s="18" t="inlineStr">
        <is>
          <t>Validity</t>
        </is>
      </c>
      <c r="D7" s="18" t="inlineStr">
        <is>
          <t>33 items</t>
        </is>
      </c>
      <c r="E7" s="24" t="inlineStr">
        <is>
          <t>Tendency to deprecate or devalue oneself</t>
        </is>
      </c>
    </row>
    <row r="8">
      <c r="A8" s="18" t="inlineStr">
        <is>
          <t>V</t>
        </is>
      </c>
      <c r="B8" s="16" t="inlineStr">
        <is>
          <t>Invalidity</t>
        </is>
      </c>
      <c r="C8" s="18" t="inlineStr">
        <is>
          <t>Validity</t>
        </is>
      </c>
      <c r="D8" s="18" t="inlineStr">
        <is>
          <t>3 items</t>
        </is>
      </c>
      <c r="E8" s="24" t="inlineStr">
        <is>
          <t>Random or confused responding (&gt;1 invalidates)</t>
        </is>
      </c>
    </row>
    <row r="10">
      <c r="A10" s="19" t="inlineStr">
        <is>
          <t>CLINICAL PERSONALITY PATTERNS</t>
        </is>
      </c>
    </row>
    <row r="11">
      <c r="A11" s="18" t="inlineStr">
        <is>
          <t>1</t>
        </is>
      </c>
      <c r="B11" s="16" t="inlineStr">
        <is>
          <t>Schizoid</t>
        </is>
      </c>
      <c r="C11" s="18" t="inlineStr">
        <is>
          <t>Personality</t>
        </is>
      </c>
      <c r="D11" s="18" t="inlineStr">
        <is>
          <t>16 items</t>
        </is>
      </c>
      <c r="E11" s="24" t="inlineStr">
        <is>
          <t>Emotional detachment, social withdrawal, limited affect</t>
        </is>
      </c>
    </row>
    <row r="12">
      <c r="A12" s="18" t="inlineStr">
        <is>
          <t>2A</t>
        </is>
      </c>
      <c r="B12" s="16" t="inlineStr">
        <is>
          <t>Avoidant</t>
        </is>
      </c>
      <c r="C12" s="18" t="inlineStr">
        <is>
          <t>Personality</t>
        </is>
      </c>
      <c r="D12" s="18" t="inlineStr">
        <is>
          <t>16 items</t>
        </is>
      </c>
      <c r="E12" s="24" t="inlineStr">
        <is>
          <t>Social inhibition, fear of rejection, hypersensitivity</t>
        </is>
      </c>
    </row>
    <row r="13">
      <c r="A13" s="18" t="inlineStr">
        <is>
          <t>2B</t>
        </is>
      </c>
      <c r="B13" s="16" t="inlineStr">
        <is>
          <t>Depressive</t>
        </is>
      </c>
      <c r="C13" s="18" t="inlineStr">
        <is>
          <t>Personality</t>
        </is>
      </c>
      <c r="D13" s="18" t="inlineStr">
        <is>
          <t>15 items</t>
        </is>
      </c>
      <c r="E13" s="24" t="inlineStr">
        <is>
          <t>Chronic pessimism, low mood, hopelessness</t>
        </is>
      </c>
    </row>
    <row r="14">
      <c r="A14" s="18" t="inlineStr">
        <is>
          <t>3</t>
        </is>
      </c>
      <c r="B14" s="16" t="inlineStr">
        <is>
          <t>Dependent</t>
        </is>
      </c>
      <c r="C14" s="18" t="inlineStr">
        <is>
          <t>Personality</t>
        </is>
      </c>
      <c r="D14" s="18" t="inlineStr">
        <is>
          <t>16 items</t>
        </is>
      </c>
      <c r="E14" s="24" t="inlineStr">
        <is>
          <t>Submissiveness, need for reassurance, clinging behavior</t>
        </is>
      </c>
    </row>
    <row r="15">
      <c r="A15" s="18" t="inlineStr">
        <is>
          <t>4</t>
        </is>
      </c>
      <c r="B15" s="16" t="inlineStr">
        <is>
          <t>Histrionic</t>
        </is>
      </c>
      <c r="C15" s="18" t="inlineStr">
        <is>
          <t>Personality</t>
        </is>
      </c>
      <c r="D15" s="18" t="inlineStr">
        <is>
          <t>17 items</t>
        </is>
      </c>
      <c r="E15" s="24" t="inlineStr">
        <is>
          <t>Attention-seeking, emotional lability, superficiality</t>
        </is>
      </c>
    </row>
    <row r="16">
      <c r="A16" s="18" t="inlineStr">
        <is>
          <t>5</t>
        </is>
      </c>
      <c r="B16" s="16" t="inlineStr">
        <is>
          <t>Narcissistic</t>
        </is>
      </c>
      <c r="C16" s="18" t="inlineStr">
        <is>
          <t>Personality</t>
        </is>
      </c>
      <c r="D16" s="18" t="inlineStr">
        <is>
          <t>24 items</t>
        </is>
      </c>
      <c r="E16" s="24" t="inlineStr">
        <is>
          <t>Grandiosity, entitlement, lack of empathy</t>
        </is>
      </c>
    </row>
    <row r="17">
      <c r="A17" s="18" t="inlineStr">
        <is>
          <t>6A</t>
        </is>
      </c>
      <c r="B17" s="16" t="inlineStr">
        <is>
          <t>Antisocial</t>
        </is>
      </c>
      <c r="C17" s="18" t="inlineStr">
        <is>
          <t>Personality</t>
        </is>
      </c>
      <c r="D17" s="18" t="inlineStr">
        <is>
          <t>17 items</t>
        </is>
      </c>
      <c r="E17" s="24" t="inlineStr">
        <is>
          <t>Disregard for rules, impulsivity, exploitation</t>
        </is>
      </c>
    </row>
    <row r="18">
      <c r="A18" s="18" t="inlineStr">
        <is>
          <t>6B</t>
        </is>
      </c>
      <c r="B18" s="16" t="inlineStr">
        <is>
          <t>Sadistic (Aggressive)</t>
        </is>
      </c>
      <c r="C18" s="18" t="inlineStr">
        <is>
          <t>Personality</t>
        </is>
      </c>
      <c r="D18" s="18" t="inlineStr">
        <is>
          <t>20 items</t>
        </is>
      </c>
      <c r="E18" s="24" t="inlineStr">
        <is>
          <t>Hostile, domineering, pleasure in others pain</t>
        </is>
      </c>
    </row>
    <row r="19">
      <c r="A19" s="18" t="inlineStr">
        <is>
          <t>7</t>
        </is>
      </c>
      <c r="B19" s="16" t="inlineStr">
        <is>
          <t>Compulsive</t>
        </is>
      </c>
      <c r="C19" s="18" t="inlineStr">
        <is>
          <t>Personality</t>
        </is>
      </c>
      <c r="D19" s="18" t="inlineStr">
        <is>
          <t>17 items</t>
        </is>
      </c>
      <c r="E19" s="24" t="inlineStr">
        <is>
          <t>Perfectionism, rigidity, emotional constriction</t>
        </is>
      </c>
    </row>
    <row r="20">
      <c r="A20" s="18" t="inlineStr">
        <is>
          <t>8A</t>
        </is>
      </c>
      <c r="B20" s="16" t="inlineStr">
        <is>
          <t>Negativistic (Passive-Aggressive)</t>
        </is>
      </c>
      <c r="C20" s="18" t="inlineStr">
        <is>
          <t>Personality</t>
        </is>
      </c>
      <c r="D20" s="18" t="inlineStr">
        <is>
          <t>16 items</t>
        </is>
      </c>
      <c r="E20" s="24" t="inlineStr">
        <is>
          <t>Ambivalence, irritability, oppositional behavior</t>
        </is>
      </c>
    </row>
    <row r="21">
      <c r="A21" s="18" t="inlineStr">
        <is>
          <t>8B</t>
        </is>
      </c>
      <c r="B21" s="16" t="inlineStr">
        <is>
          <t>Masochistic (Self-Defeating)</t>
        </is>
      </c>
      <c r="C21" s="18" t="inlineStr">
        <is>
          <t>Personality</t>
        </is>
      </c>
      <c r="D21" s="18" t="inlineStr">
        <is>
          <t>15 items</t>
        </is>
      </c>
      <c r="E21" s="24" t="inlineStr">
        <is>
          <t>Self-sacrifice, acceptance of suffering, guilt</t>
        </is>
      </c>
    </row>
    <row r="23">
      <c r="A23" s="20" t="inlineStr">
        <is>
          <t>SEVERE PERSONALITY PATHOLOGY</t>
        </is>
      </c>
    </row>
    <row r="24">
      <c r="A24" s="18" t="inlineStr">
        <is>
          <t>S</t>
        </is>
      </c>
      <c r="B24" s="16" t="inlineStr">
        <is>
          <t>Schizotypal</t>
        </is>
      </c>
      <c r="C24" s="18" t="inlineStr">
        <is>
          <t>Severe Pers.</t>
        </is>
      </c>
      <c r="D24" s="18" t="inlineStr">
        <is>
          <t>16 items</t>
        </is>
      </c>
      <c r="E24" s="24" t="inlineStr">
        <is>
          <t>Eccentric behavior, cognitive slippage, social detachment</t>
        </is>
      </c>
    </row>
    <row r="25">
      <c r="A25" s="18" t="inlineStr">
        <is>
          <t>C</t>
        </is>
      </c>
      <c r="B25" s="16" t="inlineStr">
        <is>
          <t>Borderline</t>
        </is>
      </c>
      <c r="C25" s="18" t="inlineStr">
        <is>
          <t>Severe Pers.</t>
        </is>
      </c>
      <c r="D25" s="18" t="inlineStr">
        <is>
          <t>16 items</t>
        </is>
      </c>
      <c r="E25" s="24" t="inlineStr">
        <is>
          <t>Emotional instability, identity diffusion, self-harm risk</t>
        </is>
      </c>
    </row>
    <row r="26">
      <c r="A26" s="18" t="inlineStr">
        <is>
          <t>P</t>
        </is>
      </c>
      <c r="B26" s="16" t="inlineStr">
        <is>
          <t>Paranoid</t>
        </is>
      </c>
      <c r="C26" s="18" t="inlineStr">
        <is>
          <t>Severe Pers.</t>
        </is>
      </c>
      <c r="D26" s="18" t="inlineStr">
        <is>
          <t>17 items</t>
        </is>
      </c>
      <c r="E26" s="24" t="inlineStr">
        <is>
          <t>Suspiciousness, mistrust, hypervigilance</t>
        </is>
      </c>
    </row>
    <row r="28">
      <c r="A28" s="15" t="inlineStr">
        <is>
          <t>CLINICAL SYNDROMES</t>
        </is>
      </c>
    </row>
    <row r="29">
      <c r="A29" s="18" t="inlineStr">
        <is>
          <t>A</t>
        </is>
      </c>
      <c r="B29" s="16" t="inlineStr">
        <is>
          <t>Anxiety</t>
        </is>
      </c>
      <c r="C29" s="18" t="inlineStr">
        <is>
          <t>Syndrome</t>
        </is>
      </c>
      <c r="D29" s="18" t="inlineStr">
        <is>
          <t>14 items</t>
        </is>
      </c>
      <c r="E29" s="24" t="inlineStr">
        <is>
          <t>Excessive worry, tension, apprehension, somatic anxiety</t>
        </is>
      </c>
    </row>
    <row r="30">
      <c r="A30" s="18" t="inlineStr">
        <is>
          <t>H</t>
        </is>
      </c>
      <c r="B30" s="16" t="inlineStr">
        <is>
          <t>Somatoform</t>
        </is>
      </c>
      <c r="C30" s="18" t="inlineStr">
        <is>
          <t>Syndrome</t>
        </is>
      </c>
      <c r="D30" s="18" t="inlineStr">
        <is>
          <t>12 items</t>
        </is>
      </c>
      <c r="E30" s="24" t="inlineStr">
        <is>
          <t>Somatic complaints, health preoccupation</t>
        </is>
      </c>
    </row>
    <row r="31">
      <c r="A31" s="18" t="inlineStr">
        <is>
          <t>N</t>
        </is>
      </c>
      <c r="B31" s="16" t="inlineStr">
        <is>
          <t>Bipolar: Manic</t>
        </is>
      </c>
      <c r="C31" s="18" t="inlineStr">
        <is>
          <t>Syndrome</t>
        </is>
      </c>
      <c r="D31" s="18" t="inlineStr">
        <is>
          <t>13 items</t>
        </is>
      </c>
      <c r="E31" s="24" t="inlineStr">
        <is>
          <t>Elevated mood, pressured speech, grandiosity</t>
        </is>
      </c>
    </row>
    <row r="32">
      <c r="A32" s="18" t="inlineStr">
        <is>
          <t>D</t>
        </is>
      </c>
      <c r="B32" s="16" t="inlineStr">
        <is>
          <t>Dysthymia</t>
        </is>
      </c>
      <c r="C32" s="18" t="inlineStr">
        <is>
          <t>Syndrome</t>
        </is>
      </c>
      <c r="D32" s="18" t="inlineStr">
        <is>
          <t>14 items</t>
        </is>
      </c>
      <c r="E32" s="24" t="inlineStr">
        <is>
          <t>Chronic mild depression, low energy, pessimism</t>
        </is>
      </c>
    </row>
    <row r="33">
      <c r="A33" s="18" t="inlineStr">
        <is>
          <t>B</t>
        </is>
      </c>
      <c r="B33" s="16" t="inlineStr">
        <is>
          <t>Alcohol Dependence</t>
        </is>
      </c>
      <c r="C33" s="18" t="inlineStr">
        <is>
          <t>Syndrome</t>
        </is>
      </c>
      <c r="D33" s="18" t="inlineStr">
        <is>
          <t>15 items</t>
        </is>
      </c>
      <c r="E33" s="24" t="inlineStr">
        <is>
          <t>Problematic alcohol use pattern</t>
        </is>
      </c>
    </row>
    <row r="34">
      <c r="A34" s="18" t="inlineStr">
        <is>
          <t>T</t>
        </is>
      </c>
      <c r="B34" s="16" t="inlineStr">
        <is>
          <t>Drug Dependence</t>
        </is>
      </c>
      <c r="C34" s="18" t="inlineStr">
        <is>
          <t>Syndrome</t>
        </is>
      </c>
      <c r="D34" s="18" t="inlineStr">
        <is>
          <t>14 items</t>
        </is>
      </c>
      <c r="E34" s="24" t="inlineStr">
        <is>
          <t>Problematic drug use pattern</t>
        </is>
      </c>
    </row>
    <row r="35">
      <c r="A35" s="18" t="inlineStr">
        <is>
          <t>R</t>
        </is>
      </c>
      <c r="B35" s="16" t="inlineStr">
        <is>
          <t>Post-Traumatic Stress Disorder</t>
        </is>
      </c>
      <c r="C35" s="18" t="inlineStr">
        <is>
          <t>Syndrome</t>
        </is>
      </c>
      <c r="D35" s="18" t="inlineStr">
        <is>
          <t>16 items</t>
        </is>
      </c>
      <c r="E35" s="24" t="inlineStr">
        <is>
          <t>Trauma-related distress, hyperarousal, avoidance</t>
        </is>
      </c>
    </row>
    <row r="37">
      <c r="A37" s="21" t="inlineStr">
        <is>
          <t>SEVERE CLINICAL SYNDROMES</t>
        </is>
      </c>
    </row>
    <row r="38">
      <c r="A38" s="18" t="inlineStr">
        <is>
          <t>SS</t>
        </is>
      </c>
      <c r="B38" s="16" t="inlineStr">
        <is>
          <t>Thought Disorder</t>
        </is>
      </c>
      <c r="C38" s="18" t="inlineStr">
        <is>
          <t>Severe Syn.</t>
        </is>
      </c>
      <c r="D38" s="18" t="inlineStr">
        <is>
          <t>17 items</t>
        </is>
      </c>
      <c r="E38" s="24" t="inlineStr">
        <is>
          <t>Disorganized thinking, possible psychotic features</t>
        </is>
      </c>
    </row>
    <row r="39">
      <c r="A39" s="18" t="inlineStr">
        <is>
          <t>CC</t>
        </is>
      </c>
      <c r="B39" s="16" t="inlineStr">
        <is>
          <t>Major Depression</t>
        </is>
      </c>
      <c r="C39" s="18" t="inlineStr">
        <is>
          <t>Severe Syn.</t>
        </is>
      </c>
      <c r="D39" s="18" t="inlineStr">
        <is>
          <t>17 items</t>
        </is>
      </c>
      <c r="E39" s="24" t="inlineStr">
        <is>
          <t>Severe depressive episode, hopelessness, anhedonia</t>
        </is>
      </c>
    </row>
    <row r="40">
      <c r="A40" s="18" t="inlineStr">
        <is>
          <t>PP</t>
        </is>
      </c>
      <c r="B40" s="16" t="inlineStr">
        <is>
          <t>Delusional Disorder</t>
        </is>
      </c>
      <c r="C40" s="18" t="inlineStr">
        <is>
          <t>Severe Syn.</t>
        </is>
      </c>
      <c r="D40" s="18" t="inlineStr">
        <is>
          <t>13 items</t>
        </is>
      </c>
      <c r="E40" s="24" t="inlineStr">
        <is>
          <t>Fixed false beliefs, paranoid ideation</t>
        </is>
      </c>
    </row>
    <row r="44">
      <c r="A44" s="3" t="inlineStr">
        <is>
          <t>INTERPRETATION GUIDELINES</t>
        </is>
      </c>
    </row>
    <row r="45">
      <c r="A45" s="26" t="inlineStr">
        <is>
          <t>BR Score ≥ 85: Indicates the presence of a disorder or pathological level of the trait.</t>
        </is>
      </c>
    </row>
    <row r="46">
      <c r="A46" s="26" t="inlineStr">
        <is>
          <t>BR Score 75-84: Suggests clinically significant features (trait level or syndrome presence).</t>
        </is>
      </c>
    </row>
    <row r="47">
      <c r="A47" s="26" t="inlineStr">
        <is>
          <t>BR Score 60-74: Suggestive features that warrant monitoring but not diagnosis.</t>
        </is>
      </c>
    </row>
    <row r="48">
      <c r="A48" s="26" t="inlineStr">
        <is>
          <t>BR Score 35-59: Within normal limits; features are within normative expectations.</t>
        </is>
      </c>
    </row>
    <row r="49">
      <c r="A49" s="26" t="inlineStr">
        <is>
          <t>BR Score &lt; 35: Absence of the measured trait or syndrome.</t>
        </is>
      </c>
    </row>
    <row r="50">
      <c r="A50" s="26" t="inlineStr"/>
    </row>
    <row r="51">
      <c r="A51" s="26" t="inlineStr">
        <is>
          <t>VALIDITY CHECKS:</t>
        </is>
      </c>
    </row>
    <row r="52">
      <c r="A52" s="26" t="inlineStr">
        <is>
          <t>Scale V (Invalidity): If V &gt; 1, the protocol may be INVALID (random/confused responding).</t>
        </is>
      </c>
    </row>
    <row r="53">
      <c r="A53" s="26" t="inlineStr">
        <is>
          <t>Scale X (Disclosure): Very low (&lt;35) = guarded/minimal disclosure; Very high (&gt;85) = over-disclosure.</t>
        </is>
      </c>
    </row>
    <row r="54">
      <c r="A54" s="26" t="inlineStr">
        <is>
          <t>Scale Y (Desirability): High scores (&gt;75) suggest impression management / fake good.</t>
        </is>
      </c>
    </row>
    <row r="55">
      <c r="A55" s="26" t="inlineStr">
        <is>
          <t>Scale Z (Debasement): High scores (&gt;75) suggest self-deprecation / cry for help / fake bad.</t>
        </is>
      </c>
    </row>
  </sheetData>
  <mergeCells count="17">
    <mergeCell ref="A53:E53"/>
    <mergeCell ref="A55:E55"/>
    <mergeCell ref="A50:E50"/>
    <mergeCell ref="A4:E4"/>
    <mergeCell ref="A48:E48"/>
    <mergeCell ref="A54:E54"/>
    <mergeCell ref="A52:E52"/>
    <mergeCell ref="A10:E10"/>
    <mergeCell ref="A28:E28"/>
    <mergeCell ref="A49:E49"/>
    <mergeCell ref="A51:E51"/>
    <mergeCell ref="A47:E47"/>
    <mergeCell ref="A1:E1"/>
    <mergeCell ref="A23:E23"/>
    <mergeCell ref="A37:E37"/>
    <mergeCell ref="A45:E45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2026-07-21T11:17:14Z</dcterms:created>
  <dcterms:modified xsi:type="dcterms:W3CDTF">2026-07-21T11:17:14Z</dcterms:modified>
</cp:coreProperties>
</file>