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MI-III Scoring Worksheet" sheetId="1" state="visible" r:id="rId1"/>
    <sheet name="Disclosure_Table" sheetId="2" state="visible" r:id="rId2"/>
    <sheet name="AD_2B8BC" sheetId="3" state="visible" r:id="rId3"/>
    <sheet name="AD_2AS" sheetId="4" state="visible" r:id="rId4"/>
    <sheet name="Instructions" sheetId="5" state="visible" r:id="rId5"/>
    <sheet name="BR Score Gui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9"/>
    </font>
    <font>
      <name val="Calibri"/>
      <b val="1"/>
      <sz val="10"/>
    </font>
    <font>
      <name val="Calibri"/>
      <b val="1"/>
      <color rgb="002E75B6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5" fillId="0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7" fillId="4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1" fillId="0" borderId="0" pivotButton="0" quotePrefix="0" xfId="0"/>
    <xf numFmtId="0" fontId="7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9999"/>
          <bgColor rgb="00FF9999"/>
        </patternFill>
      </fill>
    </dxf>
    <dxf>
      <fill>
        <patternFill patternType="solid">
          <fgColor rgb="00FFFF99"/>
          <bgColor rgb="00FF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  <col width="10" customWidth="1" min="4" max="4"/>
    <col width="12" customWidth="1" min="5" max="5"/>
    <col width="13" customWidth="1" min="6" max="6"/>
    <col width="11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MCMI-III HAND-SCORING WORKSHEET</t>
        </is>
      </c>
    </row>
    <row r="2">
      <c r="A2" s="2" t="inlineStr">
        <is>
          <t>Millon Clinical Multiaxial Inventory - III (Enter data in YELLOW cells only)</t>
        </is>
      </c>
    </row>
    <row r="4">
      <c r="A4" s="3" t="inlineStr">
        <is>
          <t>Patient Name:</t>
        </is>
      </c>
      <c r="B4" s="4" t="n"/>
      <c r="D4" s="3" t="inlineStr">
        <is>
          <t>Date of Testing:</t>
        </is>
      </c>
      <c r="E4" s="4" t="n"/>
      <c r="G4" s="3" t="inlineStr">
        <is>
          <t>Age:</t>
        </is>
      </c>
      <c r="H4" s="4" t="n"/>
    </row>
    <row r="5">
      <c r="A5" s="3" t="inlineStr">
        <is>
          <t>Gender (M/F):</t>
        </is>
      </c>
      <c r="B5" s="4" t="n"/>
      <c r="D5" s="3" t="inlineStr">
        <is>
          <t>Setting:</t>
        </is>
      </c>
      <c r="E5" s="4" t="n"/>
      <c r="G5" s="3" t="inlineStr">
        <is>
          <t>Examiner:</t>
        </is>
      </c>
      <c r="H5" s="4" t="n"/>
    </row>
    <row r="7">
      <c r="A7" s="5" t="inlineStr">
        <is>
          <t>VALIDITY CHECKS</t>
        </is>
      </c>
    </row>
    <row r="8">
      <c r="A8" s="6" t="inlineStr">
        <is>
          <t>V (Invalidity) Score (items 65, 110, 157):</t>
        </is>
      </c>
      <c r="D8" s="4" t="n"/>
      <c r="E8" s="7" t="inlineStr">
        <is>
          <t>← Enter 0, 1, 2, or 3. If &gt; 1, protocol is INVALID</t>
        </is>
      </c>
    </row>
    <row r="9">
      <c r="A9" s="6" t="inlineStr">
        <is>
          <t>Omits/Double Marks Count:</t>
        </is>
      </c>
      <c r="D9" s="4" t="n"/>
      <c r="E9" s="7" t="inlineStr">
        <is>
          <t>← If &gt; 11, protocol is INVALID</t>
        </is>
      </c>
    </row>
    <row r="10">
      <c r="A10" s="3" t="inlineStr">
        <is>
          <t>Protocol Validity:</t>
        </is>
      </c>
      <c r="D10" s="8">
        <f>IF(OR(D8&gt;1, D9&gt;11), "⚠ INVALID - DO NOT SCORE", "✓ VALID - Proceed with scoring")</f>
        <v/>
      </c>
    </row>
    <row r="12">
      <c r="A12" s="5" t="inlineStr">
        <is>
          <t>CLIENT SETTING (for adjustments)</t>
        </is>
      </c>
    </row>
    <row r="13">
      <c r="A13" s="6" t="inlineStr">
        <is>
          <t>Is client an inpatient? (Y/N):</t>
        </is>
      </c>
      <c r="D13" s="4" t="n"/>
    </row>
    <row r="14">
      <c r="A14" s="6" t="inlineStr">
        <is>
          <t>Axis I duration (weeks):</t>
        </is>
      </c>
      <c r="D14" s="4" t="n"/>
      <c r="E14" s="7" t="inlineStr">
        <is>
          <t>← Enter number of weeks</t>
        </is>
      </c>
    </row>
    <row r="17">
      <c r="A17" s="9" t="inlineStr">
        <is>
          <t>SCORING TABLE - Enter Raw Scores → Get Final BR Scores Automatically</t>
        </is>
      </c>
    </row>
    <row r="18" ht="45" customHeight="1">
      <c r="A18" s="10" t="inlineStr">
        <is>
          <t>Scale
Code</t>
        </is>
      </c>
      <c r="B18" s="10" t="inlineStr">
        <is>
          <t>Scale Name</t>
        </is>
      </c>
      <c r="C18" s="10" t="inlineStr">
        <is>
          <t>Category</t>
        </is>
      </c>
      <c r="D18" s="10" t="inlineStr">
        <is>
          <t>RAW
SCORE
(Enter)</t>
        </is>
      </c>
      <c r="E18" s="10" t="inlineStr">
        <is>
          <t>Initial
BR Score
(Enter from
Appendix C)</t>
        </is>
      </c>
      <c r="F18" s="10" t="inlineStr">
        <is>
          <t>Disclosure
Adjustment</t>
        </is>
      </c>
      <c r="G18" s="10" t="inlineStr">
        <is>
          <t>A/D
Adjustment</t>
        </is>
      </c>
      <c r="H18" s="10" t="inlineStr">
        <is>
          <t>Inpatient
Adjustment</t>
        </is>
      </c>
      <c r="I18" s="10" t="inlineStr">
        <is>
          <t>Denial/
Complaint
Adj.</t>
        </is>
      </c>
      <c r="J18" s="10" t="inlineStr">
        <is>
          <t>FINAL
BR SCORE</t>
        </is>
      </c>
    </row>
    <row r="19">
      <c r="A19" s="11" t="inlineStr">
        <is>
          <t>X</t>
        </is>
      </c>
      <c r="B19" s="12" t="inlineStr">
        <is>
          <t>Disclosure</t>
        </is>
      </c>
      <c r="C19" s="13" t="inlineStr">
        <is>
          <t>Modifying Indices</t>
        </is>
      </c>
      <c r="D19" s="14" t="n"/>
      <c r="E19" s="14" t="n"/>
      <c r="F19" s="15" t="inlineStr">
        <is>
          <t>N/A</t>
        </is>
      </c>
      <c r="G19" s="15" t="inlineStr">
        <is>
          <t>N/A</t>
        </is>
      </c>
      <c r="H19" s="15" t="n">
        <v>0</v>
      </c>
      <c r="I19" s="15" t="n">
        <v>0</v>
      </c>
      <c r="J19" s="16">
        <f>IF(E19="","",MIN(MAX(E19,0),115))</f>
        <v/>
      </c>
    </row>
    <row r="20">
      <c r="A20" s="11" t="inlineStr">
        <is>
          <t>Y</t>
        </is>
      </c>
      <c r="B20" s="12" t="inlineStr">
        <is>
          <t>Desirability</t>
        </is>
      </c>
      <c r="C20" s="13" t="inlineStr">
        <is>
          <t>Modifying Indices</t>
        </is>
      </c>
      <c r="D20" s="14" t="n"/>
      <c r="E20" s="14" t="n"/>
      <c r="F20" s="15" t="inlineStr">
        <is>
          <t>N/A</t>
        </is>
      </c>
      <c r="G20" s="15" t="inlineStr">
        <is>
          <t>N/A</t>
        </is>
      </c>
      <c r="H20" s="15" t="n">
        <v>0</v>
      </c>
      <c r="I20" s="15" t="n">
        <v>0</v>
      </c>
      <c r="J20" s="16">
        <f>IF(E20="","",MIN(MAX(E20,0),115))</f>
        <v/>
      </c>
    </row>
    <row r="21">
      <c r="A21" s="11" t="inlineStr">
        <is>
          <t>Z</t>
        </is>
      </c>
      <c r="B21" s="12" t="inlineStr">
        <is>
          <t>Debasement</t>
        </is>
      </c>
      <c r="C21" s="13" t="inlineStr">
        <is>
          <t>Modifying Indices</t>
        </is>
      </c>
      <c r="D21" s="14" t="n"/>
      <c r="E21" s="14" t="n"/>
      <c r="F21" s="15" t="inlineStr">
        <is>
          <t>N/A</t>
        </is>
      </c>
      <c r="G21" s="15" t="inlineStr">
        <is>
          <t>N/A</t>
        </is>
      </c>
      <c r="H21" s="15" t="n">
        <v>0</v>
      </c>
      <c r="I21" s="15" t="n">
        <v>0</v>
      </c>
      <c r="J21" s="16">
        <f>IF(E21="","",MIN(MAX(E21,0),115))</f>
        <v/>
      </c>
    </row>
    <row r="22">
      <c r="A22" s="11" t="inlineStr">
        <is>
          <t>1</t>
        </is>
      </c>
      <c r="B22" s="12" t="inlineStr">
        <is>
          <t>Schizoid</t>
        </is>
      </c>
      <c r="C22" s="13" t="inlineStr">
        <is>
          <t>Clinical Personality Patterns</t>
        </is>
      </c>
      <c r="D22" s="14" t="n"/>
      <c r="E22" s="14" t="n"/>
      <c r="F22" s="17">
        <f>IF(D19="","",VLOOKUP(MIN(MAX(D19,0),199),Disclosure_Table!A:B,2,TRUE))</f>
        <v/>
      </c>
      <c r="G22" s="15" t="inlineStr">
        <is>
          <t>N/A</t>
        </is>
      </c>
      <c r="H22" s="15" t="n">
        <v>0</v>
      </c>
      <c r="I22" s="15" t="n">
        <v>0</v>
      </c>
      <c r="J22" s="16">
        <f>IF(E22="","",MIN(MAX(E22+IF(ISNUMBER(F22),F22,0)+IF(ISNUMBER(G22),G22,0)+IF(ISNUMBER(H22),H22,0)+IF(ISNUMBER(I22),I22,0),0),115))</f>
        <v/>
      </c>
    </row>
    <row r="23">
      <c r="A23" s="11" t="inlineStr">
        <is>
          <t>2A</t>
        </is>
      </c>
      <c r="B23" s="12" t="inlineStr">
        <is>
          <t>Avoidant</t>
        </is>
      </c>
      <c r="C23" s="13" t="inlineStr">
        <is>
          <t>Clinical Personality Patterns</t>
        </is>
      </c>
      <c r="D23" s="14" t="n"/>
      <c r="E23" s="14" t="n"/>
      <c r="F23" s="17">
        <f>IF(D19="","",VLOOKUP(MIN(MAX(D19,0),199),Disclosure_Table!A:B,2,TRUE))</f>
        <v/>
      </c>
      <c r="G23" s="17">
        <f>IF(OR(E36="",E39=""),"",IF(AND((E36+IF(ISNUMBER(F36),F36,0))&lt;75,(E39+IF(ISNUMBER(F39),F39,0))&lt;75),0,IF(AND((E36+IF(ISNUMBER(F36),F36,0))&gt;=75,(E39+IF(ISNUMBER(F39),F39,0))&lt;75),VLOOKUP((E36+IF(ISNUMBER(F36),F36,0))-75,AD_2AS!A:B,2,TRUE),IF(AND((E39+IF(ISNUMBER(F39),F39,0))&gt;=75,(E36+IF(ISNUMBER(F36),F36,0))&lt;75),VLOOKUP((E39+IF(ISNUMBER(F39),F39,0))-75,AD_2AS!A:B,2,TRUE),VLOOKUP(((E36+IF(ISNUMBER(F36),F36,0))-75)+((E39+IF(ISNUMBER(F39),F39,0))-75),AD_2AS!A:B,2,TRUE)))))</f>
        <v/>
      </c>
      <c r="H23" s="15" t="n">
        <v>0</v>
      </c>
      <c r="I23" s="15" t="n">
        <v>0</v>
      </c>
      <c r="J23" s="16">
        <f>IF(E23="","",MIN(MAX(E23+IF(ISNUMBER(F23),F23,0)+IF(ISNUMBER(G23),G23,0)+IF(ISNUMBER(H23),H23,0)+IF(ISNUMBER(I23),I23,0),0),115))</f>
        <v/>
      </c>
    </row>
    <row r="24">
      <c r="A24" s="11" t="inlineStr">
        <is>
          <t>2B</t>
        </is>
      </c>
      <c r="B24" s="12" t="inlineStr">
        <is>
          <t>Depressive</t>
        </is>
      </c>
      <c r="C24" s="13" t="inlineStr">
        <is>
          <t>Clinical Personality Patterns</t>
        </is>
      </c>
      <c r="D24" s="14" t="n"/>
      <c r="E24" s="14" t="n"/>
      <c r="F24" s="17">
        <f>IF(D19="","",VLOOKUP(MIN(MAX(D19,0),199),Disclosure_Table!A:B,2,TRUE))</f>
        <v/>
      </c>
      <c r="G24" s="17">
        <f>IF(OR(E36="",E39=""),"",IF(AND((E36+IF(ISNUMBER(F36),F36,0))&lt;75,(E39+IF(ISNUMBER(F39),F39,0))&lt;75),0,IF(AND((E36+IF(ISNUMBER(F36),F36,0))&gt;=75,(E39+IF(ISNUMBER(F39),F39,0))&lt;75),VLOOKUP((E36+IF(ISNUMBER(F36),F36,0))-75,AD_2B8BC!A:B,2,TRUE),IF(AND((E39+IF(ISNUMBER(F39),F39,0))&gt;=75,(E36+IF(ISNUMBER(F36),F36,0))&lt;75),VLOOKUP((E39+IF(ISNUMBER(F39),F39,0))-75,AD_2B8BC!A:B,2,TRUE),VLOOKUP(((E36+IF(ISNUMBER(F36),F36,0))-75)+((E39+IF(ISNUMBER(F39),F39,0))-75),AD_2B8BC!A:B,2,TRUE)))))</f>
        <v/>
      </c>
      <c r="H24" s="15" t="n">
        <v>0</v>
      </c>
      <c r="I24" s="15" t="n">
        <v>0</v>
      </c>
      <c r="J24" s="16">
        <f>IF(E24="","",MIN(MAX(E24+IF(ISNUMBER(F24),F24,0)+IF(ISNUMBER(G24),G24,0)+IF(ISNUMBER(H24),H24,0)+IF(ISNUMBER(I24),I24,0),0),115))</f>
        <v/>
      </c>
    </row>
    <row r="25">
      <c r="A25" s="11" t="inlineStr">
        <is>
          <t>3</t>
        </is>
      </c>
      <c r="B25" s="12" t="inlineStr">
        <is>
          <t>Dependent</t>
        </is>
      </c>
      <c r="C25" s="13" t="inlineStr">
        <is>
          <t>Clinical Personality Patterns</t>
        </is>
      </c>
      <c r="D25" s="14" t="n"/>
      <c r="E25" s="14" t="n"/>
      <c r="F25" s="17">
        <f>IF(D19="","",VLOOKUP(MIN(MAX(D19,0),199),Disclosure_Table!A:B,2,TRUE))</f>
        <v/>
      </c>
      <c r="G25" s="15" t="inlineStr">
        <is>
          <t>N/A</t>
        </is>
      </c>
      <c r="H25" s="15" t="n">
        <v>0</v>
      </c>
      <c r="I25" s="15" t="n">
        <v>0</v>
      </c>
      <c r="J25" s="16">
        <f>IF(E25="","",MIN(MAX(E25+IF(ISNUMBER(F25),F25,0)+IF(ISNUMBER(G25),G25,0)+IF(ISNUMBER(H25),H25,0)+IF(ISNUMBER(I25),I25,0),0),115))</f>
        <v/>
      </c>
    </row>
    <row r="26">
      <c r="A26" s="11" t="inlineStr">
        <is>
          <t>4</t>
        </is>
      </c>
      <c r="B26" s="12" t="inlineStr">
        <is>
          <t>Histrionic</t>
        </is>
      </c>
      <c r="C26" s="13" t="inlineStr">
        <is>
          <t>Clinical Personality Patterns</t>
        </is>
      </c>
      <c r="D26" s="14" t="n"/>
      <c r="E26" s="14" t="n"/>
      <c r="F26" s="17">
        <f>IF(D19="","",VLOOKUP(MIN(MAX(D19,0),199),Disclosure_Table!A:B,2,TRUE))</f>
        <v/>
      </c>
      <c r="G26" s="15" t="inlineStr">
        <is>
          <t>N/A</t>
        </is>
      </c>
      <c r="H26" s="15" t="n">
        <v>0</v>
      </c>
      <c r="I26" s="14" t="n">
        <v>0</v>
      </c>
      <c r="J26" s="16">
        <f>IF(E26="","",MIN(MAX(E26+IF(ISNUMBER(F26),F26,0)+IF(ISNUMBER(G26),G26,0)+IF(ISNUMBER(H26),H26,0)+IF(ISNUMBER(I26),I26,0),0),115))</f>
        <v/>
      </c>
    </row>
    <row r="27">
      <c r="A27" s="11" t="inlineStr">
        <is>
          <t>5</t>
        </is>
      </c>
      <c r="B27" s="12" t="inlineStr">
        <is>
          <t>Narcissistic</t>
        </is>
      </c>
      <c r="C27" s="13" t="inlineStr">
        <is>
          <t>Clinical Personality Patterns</t>
        </is>
      </c>
      <c r="D27" s="14" t="n"/>
      <c r="E27" s="14" t="n"/>
      <c r="F27" s="17">
        <f>IF(D19="","",VLOOKUP(MIN(MAX(D19,0),199),Disclosure_Table!A:B,2,TRUE))</f>
        <v/>
      </c>
      <c r="G27" s="15" t="inlineStr">
        <is>
          <t>N/A</t>
        </is>
      </c>
      <c r="H27" s="15" t="n">
        <v>0</v>
      </c>
      <c r="I27" s="14" t="n">
        <v>0</v>
      </c>
      <c r="J27" s="16">
        <f>IF(E27="","",MIN(MAX(E27+IF(ISNUMBER(F27),F27,0)+IF(ISNUMBER(G27),G27,0)+IF(ISNUMBER(H27),H27,0)+IF(ISNUMBER(I27),I27,0),0),115))</f>
        <v/>
      </c>
    </row>
    <row r="28">
      <c r="A28" s="11" t="inlineStr">
        <is>
          <t>6A</t>
        </is>
      </c>
      <c r="B28" s="12" t="inlineStr">
        <is>
          <t>Antisocial</t>
        </is>
      </c>
      <c r="C28" s="13" t="inlineStr">
        <is>
          <t>Clinical Personality Patterns</t>
        </is>
      </c>
      <c r="D28" s="14" t="n"/>
      <c r="E28" s="14" t="n"/>
      <c r="F28" s="17">
        <f>IF(D19="","",VLOOKUP(MIN(MAX(D19,0),199),Disclosure_Table!A:B,2,TRUE))</f>
        <v/>
      </c>
      <c r="G28" s="15" t="inlineStr">
        <is>
          <t>N/A</t>
        </is>
      </c>
      <c r="H28" s="15" t="n">
        <v>0</v>
      </c>
      <c r="I28" s="15" t="n">
        <v>0</v>
      </c>
      <c r="J28" s="16">
        <f>IF(E28="","",MIN(MAX(E28+IF(ISNUMBER(F28),F28,0)+IF(ISNUMBER(G28),G28,0)+IF(ISNUMBER(H28),H28,0)+IF(ISNUMBER(I28),I28,0),0),115))</f>
        <v/>
      </c>
    </row>
    <row r="29">
      <c r="A29" s="11" t="inlineStr">
        <is>
          <t>6B</t>
        </is>
      </c>
      <c r="B29" s="12" t="inlineStr">
        <is>
          <t>Sadistic (Aggressive)</t>
        </is>
      </c>
      <c r="C29" s="13" t="inlineStr">
        <is>
          <t>Clinical Personality Patterns</t>
        </is>
      </c>
      <c r="D29" s="14" t="n"/>
      <c r="E29" s="14" t="n"/>
      <c r="F29" s="17">
        <f>IF(D19="","",VLOOKUP(MIN(MAX(D19,0),199),Disclosure_Table!A:B,2,TRUE))</f>
        <v/>
      </c>
      <c r="G29" s="15" t="inlineStr">
        <is>
          <t>N/A</t>
        </is>
      </c>
      <c r="H29" s="15" t="n">
        <v>0</v>
      </c>
      <c r="I29" s="15" t="n">
        <v>0</v>
      </c>
      <c r="J29" s="16">
        <f>IF(E29="","",MIN(MAX(E29+IF(ISNUMBER(F29),F29,0)+IF(ISNUMBER(G29),G29,0)+IF(ISNUMBER(H29),H29,0)+IF(ISNUMBER(I29),I29,0),0),115))</f>
        <v/>
      </c>
    </row>
    <row r="30">
      <c r="A30" s="11" t="inlineStr">
        <is>
          <t>7</t>
        </is>
      </c>
      <c r="B30" s="12" t="inlineStr">
        <is>
          <t>Compulsive</t>
        </is>
      </c>
      <c r="C30" s="13" t="inlineStr">
        <is>
          <t>Clinical Personality Patterns</t>
        </is>
      </c>
      <c r="D30" s="14" t="n"/>
      <c r="E30" s="14" t="n"/>
      <c r="F30" s="17">
        <f>IF(D19="","",VLOOKUP(MIN(MAX(D19,0),199),Disclosure_Table!A:B,2,TRUE))</f>
        <v/>
      </c>
      <c r="G30" s="15" t="inlineStr">
        <is>
          <t>N/A</t>
        </is>
      </c>
      <c r="H30" s="15" t="n">
        <v>0</v>
      </c>
      <c r="I30" s="14" t="n">
        <v>0</v>
      </c>
      <c r="J30" s="16">
        <f>IF(E30="","",MIN(MAX(E30+IF(ISNUMBER(F30),F30,0)+IF(ISNUMBER(G30),G30,0)+IF(ISNUMBER(H30),H30,0)+IF(ISNUMBER(I30),I30,0),0),115))</f>
        <v/>
      </c>
    </row>
    <row r="31">
      <c r="A31" s="11" t="inlineStr">
        <is>
          <t>8A</t>
        </is>
      </c>
      <c r="B31" s="12" t="inlineStr">
        <is>
          <t>Negativistic (Passive-Aggressive)</t>
        </is>
      </c>
      <c r="C31" s="13" t="inlineStr">
        <is>
          <t>Clinical Personality Patterns</t>
        </is>
      </c>
      <c r="D31" s="14" t="n"/>
      <c r="E31" s="14" t="n"/>
      <c r="F31" s="17">
        <f>IF(D19="","",VLOOKUP(MIN(MAX(D19,0),199),Disclosure_Table!A:B,2,TRUE))</f>
        <v/>
      </c>
      <c r="G31" s="15" t="inlineStr">
        <is>
          <t>N/A</t>
        </is>
      </c>
      <c r="H31" s="15" t="n">
        <v>0</v>
      </c>
      <c r="I31" s="15" t="n">
        <v>0</v>
      </c>
      <c r="J31" s="16">
        <f>IF(E31="","",MIN(MAX(E31+IF(ISNUMBER(F31),F31,0)+IF(ISNUMBER(G31),G31,0)+IF(ISNUMBER(H31),H31,0)+IF(ISNUMBER(I31),I31,0),0),115))</f>
        <v/>
      </c>
    </row>
    <row r="32">
      <c r="A32" s="11" t="inlineStr">
        <is>
          <t>8B</t>
        </is>
      </c>
      <c r="B32" s="12" t="inlineStr">
        <is>
          <t>Masochistic (Self-Defeating)</t>
        </is>
      </c>
      <c r="C32" s="13" t="inlineStr">
        <is>
          <t>Clinical Personality Patterns</t>
        </is>
      </c>
      <c r="D32" s="14" t="n"/>
      <c r="E32" s="14" t="n"/>
      <c r="F32" s="17">
        <f>IF(D19="","",VLOOKUP(MIN(MAX(D19,0),199),Disclosure_Table!A:B,2,TRUE))</f>
        <v/>
      </c>
      <c r="G32" s="17">
        <f>IF(OR(E36="",E39=""),"",IF(AND((E36+IF(ISNUMBER(F36),F36,0))&lt;75,(E39+IF(ISNUMBER(F39),F39,0))&lt;75),0,IF(AND((E36+IF(ISNUMBER(F36),F36,0))&gt;=75,(E39+IF(ISNUMBER(F39),F39,0))&lt;75),VLOOKUP((E36+IF(ISNUMBER(F36),F36,0))-75,AD_2B8BC!A:B,2,TRUE),IF(AND((E39+IF(ISNUMBER(F39),F39,0))&gt;=75,(E36+IF(ISNUMBER(F36),F36,0))&lt;75),VLOOKUP((E39+IF(ISNUMBER(F39),F39,0))-75,AD_2B8BC!A:B,2,TRUE),VLOOKUP(((E36+IF(ISNUMBER(F36),F36,0))-75)+((E39+IF(ISNUMBER(F39),F39,0))-75),AD_2B8BC!A:B,2,TRUE)))))</f>
        <v/>
      </c>
      <c r="H32" s="15" t="n">
        <v>0</v>
      </c>
      <c r="I32" s="15" t="n">
        <v>0</v>
      </c>
      <c r="J32" s="16">
        <f>IF(E32="","",MIN(MAX(E32+IF(ISNUMBER(F32),F32,0)+IF(ISNUMBER(G32),G32,0)+IF(ISNUMBER(H32),H32,0)+IF(ISNUMBER(I32),I32,0),0),115))</f>
        <v/>
      </c>
    </row>
    <row r="33">
      <c r="A33" s="11" t="inlineStr">
        <is>
          <t>S</t>
        </is>
      </c>
      <c r="B33" s="12" t="inlineStr">
        <is>
          <t>Schizotypal</t>
        </is>
      </c>
      <c r="C33" s="13" t="inlineStr">
        <is>
          <t>Severe Personality Pathology</t>
        </is>
      </c>
      <c r="D33" s="14" t="n"/>
      <c r="E33" s="14" t="n"/>
      <c r="F33" s="17">
        <f>IF(D19="","",VLOOKUP(MIN(MAX(D19,0),199),Disclosure_Table!A:C,3,TRUE))</f>
        <v/>
      </c>
      <c r="G33" s="17">
        <f>IF(OR(E36="",E39=""),"",IF(AND((E36+IF(ISNUMBER(F36),F36,0))&lt;75,(E39+IF(ISNUMBER(F39),F39,0))&lt;75),0,IF(AND((E36+IF(ISNUMBER(F36),F36,0))&gt;=75,(E39+IF(ISNUMBER(F39),F39,0))&lt;75),VLOOKUP((E36+IF(ISNUMBER(F36),F36,0))-75,AD_2AS!A:B,2,TRUE),IF(AND((E39+IF(ISNUMBER(F39),F39,0))&gt;=75,(E36+IF(ISNUMBER(F36),F36,0))&lt;75),VLOOKUP((E39+IF(ISNUMBER(F39),F39,0))-75,AD_2AS!A:B,2,TRUE),VLOOKUP(((E36+IF(ISNUMBER(F36),F36,0))-75)+((E39+IF(ISNUMBER(F39),F39,0))-75),AD_2AS!A:B,2,TRUE)))))</f>
        <v/>
      </c>
      <c r="H33" s="15" t="n">
        <v>0</v>
      </c>
      <c r="I33" s="15" t="n">
        <v>0</v>
      </c>
      <c r="J33" s="16">
        <f>IF(E33="","",MIN(MAX(E33+IF(ISNUMBER(F33),F33,0)+IF(ISNUMBER(G33),G33,0)+IF(ISNUMBER(H33),H33,0)+IF(ISNUMBER(I33),I33,0),0),115))</f>
        <v/>
      </c>
    </row>
    <row r="34">
      <c r="A34" s="11" t="inlineStr">
        <is>
          <t>C</t>
        </is>
      </c>
      <c r="B34" s="12" t="inlineStr">
        <is>
          <t>Borderline</t>
        </is>
      </c>
      <c r="C34" s="13" t="inlineStr">
        <is>
          <t>Severe Personality Pathology</t>
        </is>
      </c>
      <c r="D34" s="14" t="n"/>
      <c r="E34" s="14" t="n"/>
      <c r="F34" s="17">
        <f>IF(D19="","",VLOOKUP(MIN(MAX(D19,0),199),Disclosure_Table!A:C,3,TRUE))</f>
        <v/>
      </c>
      <c r="G34" s="17">
        <f>IF(OR(E36="",E39=""),"",IF(AND((E36+IF(ISNUMBER(F36),F36,0))&lt;75,(E39+IF(ISNUMBER(F39),F39,0))&lt;75),0,IF(AND((E36+IF(ISNUMBER(F36),F36,0))&gt;=75,(E39+IF(ISNUMBER(F39),F39,0))&lt;75),VLOOKUP((E36+IF(ISNUMBER(F36),F36,0))-75,AD_2B8BC!A:B,2,TRUE),IF(AND((E39+IF(ISNUMBER(F39),F39,0))&gt;=75,(E36+IF(ISNUMBER(F36),F36,0))&lt;75),VLOOKUP((E39+IF(ISNUMBER(F39),F39,0))-75,AD_2B8BC!A:B,2,TRUE),VLOOKUP(((E36+IF(ISNUMBER(F36),F36,0))-75)+((E39+IF(ISNUMBER(F39),F39,0))-75),AD_2B8BC!A:B,2,TRUE)))))</f>
        <v/>
      </c>
      <c r="H34" s="15" t="n">
        <v>0</v>
      </c>
      <c r="I34" s="15" t="n">
        <v>0</v>
      </c>
      <c r="J34" s="16">
        <f>IF(E34="","",MIN(MAX(E34+IF(ISNUMBER(F34),F34,0)+IF(ISNUMBER(G34),G34,0)+IF(ISNUMBER(H34),H34,0)+IF(ISNUMBER(I34),I34,0),0),115))</f>
        <v/>
      </c>
    </row>
    <row r="35">
      <c r="A35" s="11" t="inlineStr">
        <is>
          <t>P</t>
        </is>
      </c>
      <c r="B35" s="12" t="inlineStr">
        <is>
          <t>Paranoid</t>
        </is>
      </c>
      <c r="C35" s="13" t="inlineStr">
        <is>
          <t>Severe Personality Pathology</t>
        </is>
      </c>
      <c r="D35" s="14" t="n"/>
      <c r="E35" s="14" t="n"/>
      <c r="F35" s="17">
        <f>IF(D19="","",VLOOKUP(MIN(MAX(D19,0),199),Disclosure_Table!A:C,3,TRUE))</f>
        <v/>
      </c>
      <c r="G35" s="15" t="inlineStr">
        <is>
          <t>N/A</t>
        </is>
      </c>
      <c r="H35" s="15" t="n">
        <v>0</v>
      </c>
      <c r="I35" s="15" t="n">
        <v>0</v>
      </c>
      <c r="J35" s="16">
        <f>IF(E35="","",MIN(MAX(E35+IF(ISNUMBER(F35),F35,0)+IF(ISNUMBER(G35),G35,0)+IF(ISNUMBER(H35),H35,0)+IF(ISNUMBER(I35),I35,0),0),115))</f>
        <v/>
      </c>
    </row>
    <row r="36">
      <c r="A36" s="11" t="inlineStr">
        <is>
          <t>A</t>
        </is>
      </c>
      <c r="B36" s="12" t="inlineStr">
        <is>
          <t>Anxiety</t>
        </is>
      </c>
      <c r="C36" s="13" t="inlineStr">
        <is>
          <t>Clinical Syndromes</t>
        </is>
      </c>
      <c r="D36" s="14" t="n"/>
      <c r="E36" s="14" t="n"/>
      <c r="F36" s="17">
        <f>IF(D19="","",VLOOKUP(MIN(MAX(D19,0),199),Disclosure_Table!A:C,3,TRUE))</f>
        <v/>
      </c>
      <c r="G36" s="15" t="inlineStr">
        <is>
          <t>N/A</t>
        </is>
      </c>
      <c r="H36" s="15" t="n">
        <v>0</v>
      </c>
      <c r="I36" s="15" t="n">
        <v>0</v>
      </c>
      <c r="J36" s="16">
        <f>IF(E36="","",MIN(MAX(E36+IF(ISNUMBER(F36),F36,0)+IF(ISNUMBER(G36),G36,0)+IF(ISNUMBER(H36),H36,0)+IF(ISNUMBER(I36),I36,0),0),115))</f>
        <v/>
      </c>
    </row>
    <row r="37">
      <c r="A37" s="11" t="inlineStr">
        <is>
          <t>H</t>
        </is>
      </c>
      <c r="B37" s="12" t="inlineStr">
        <is>
          <t>Somatoform</t>
        </is>
      </c>
      <c r="C37" s="13" t="inlineStr">
        <is>
          <t>Clinical Syndromes</t>
        </is>
      </c>
      <c r="D37" s="14" t="n"/>
      <c r="E37" s="14" t="n"/>
      <c r="F37" s="17">
        <f>IF(D19="","",VLOOKUP(MIN(MAX(D19,0),199),Disclosure_Table!A:C,3,TRUE))</f>
        <v/>
      </c>
      <c r="G37" s="15" t="inlineStr">
        <is>
          <t>N/A</t>
        </is>
      </c>
      <c r="H37" s="15" t="n">
        <v>0</v>
      </c>
      <c r="I37" s="15" t="n">
        <v>0</v>
      </c>
      <c r="J37" s="16">
        <f>IF(E37="","",MIN(MAX(E37+IF(ISNUMBER(F37),F37,0)+IF(ISNUMBER(G37),G37,0)+IF(ISNUMBER(H37),H37,0)+IF(ISNUMBER(I37),I37,0),0),115))</f>
        <v/>
      </c>
    </row>
    <row r="38">
      <c r="A38" s="11" t="inlineStr">
        <is>
          <t>N</t>
        </is>
      </c>
      <c r="B38" s="12" t="inlineStr">
        <is>
          <t>Bipolar: Manic</t>
        </is>
      </c>
      <c r="C38" s="13" t="inlineStr">
        <is>
          <t>Clinical Syndromes</t>
        </is>
      </c>
      <c r="D38" s="14" t="n"/>
      <c r="E38" s="14" t="n"/>
      <c r="F38" s="17">
        <f>IF(D19="","",VLOOKUP(MIN(MAX(D19,0),199),Disclosure_Table!A:C,3,TRUE))</f>
        <v/>
      </c>
      <c r="G38" s="15" t="inlineStr">
        <is>
          <t>N/A</t>
        </is>
      </c>
      <c r="H38" s="15" t="n">
        <v>0</v>
      </c>
      <c r="I38" s="15" t="n">
        <v>0</v>
      </c>
      <c r="J38" s="16">
        <f>IF(E38="","",MIN(MAX(E38+IF(ISNUMBER(F38),F38,0)+IF(ISNUMBER(G38),G38,0)+IF(ISNUMBER(H38),H38,0)+IF(ISNUMBER(I38),I38,0),0),115))</f>
        <v/>
      </c>
    </row>
    <row r="39">
      <c r="A39" s="11" t="inlineStr">
        <is>
          <t>D</t>
        </is>
      </c>
      <c r="B39" s="12" t="inlineStr">
        <is>
          <t>Dysthymia</t>
        </is>
      </c>
      <c r="C39" s="13" t="inlineStr">
        <is>
          <t>Clinical Syndromes</t>
        </is>
      </c>
      <c r="D39" s="14" t="n"/>
      <c r="E39" s="14" t="n"/>
      <c r="F39" s="17">
        <f>IF(D19="","",VLOOKUP(MIN(MAX(D19,0),199),Disclosure_Table!A:C,3,TRUE))</f>
        <v/>
      </c>
      <c r="G39" s="15" t="inlineStr">
        <is>
          <t>N/A</t>
        </is>
      </c>
      <c r="H39" s="15" t="n">
        <v>0</v>
      </c>
      <c r="I39" s="15" t="n">
        <v>0</v>
      </c>
      <c r="J39" s="16">
        <f>IF(E39="","",MIN(MAX(E39+IF(ISNUMBER(F39),F39,0)+IF(ISNUMBER(G39),G39,0)+IF(ISNUMBER(H39),H39,0)+IF(ISNUMBER(I39),I39,0),0),115))</f>
        <v/>
      </c>
    </row>
    <row r="40">
      <c r="A40" s="11" t="inlineStr">
        <is>
          <t>B</t>
        </is>
      </c>
      <c r="B40" s="12" t="inlineStr">
        <is>
          <t>Alcohol Dependence</t>
        </is>
      </c>
      <c r="C40" s="13" t="inlineStr">
        <is>
          <t>Clinical Syndromes</t>
        </is>
      </c>
      <c r="D40" s="14" t="n"/>
      <c r="E40" s="14" t="n"/>
      <c r="F40" s="17">
        <f>IF(D19="","",VLOOKUP(MIN(MAX(D19,0),199),Disclosure_Table!A:C,3,TRUE))</f>
        <v/>
      </c>
      <c r="G40" s="15" t="inlineStr">
        <is>
          <t>N/A</t>
        </is>
      </c>
      <c r="H40" s="15" t="n">
        <v>0</v>
      </c>
      <c r="I40" s="15" t="n">
        <v>0</v>
      </c>
      <c r="J40" s="16">
        <f>IF(E40="","",MIN(MAX(E40+IF(ISNUMBER(F40),F40,0)+IF(ISNUMBER(G40),G40,0)+IF(ISNUMBER(H40),H40,0)+IF(ISNUMBER(I40),I40,0),0),115))</f>
        <v/>
      </c>
    </row>
    <row r="41">
      <c r="A41" s="11" t="inlineStr">
        <is>
          <t>T</t>
        </is>
      </c>
      <c r="B41" s="12" t="inlineStr">
        <is>
          <t>Drug Dependence</t>
        </is>
      </c>
      <c r="C41" s="13" t="inlineStr">
        <is>
          <t>Clinical Syndromes</t>
        </is>
      </c>
      <c r="D41" s="14" t="n"/>
      <c r="E41" s="14" t="n"/>
      <c r="F41" s="17">
        <f>IF(D19="","",VLOOKUP(MIN(MAX(D19,0),199),Disclosure_Table!A:C,3,TRUE))</f>
        <v/>
      </c>
      <c r="G41" s="15" t="inlineStr">
        <is>
          <t>N/A</t>
        </is>
      </c>
      <c r="H41" s="15" t="n">
        <v>0</v>
      </c>
      <c r="I41" s="15" t="n">
        <v>0</v>
      </c>
      <c r="J41" s="16">
        <f>IF(E41="","",MIN(MAX(E41+IF(ISNUMBER(F41),F41,0)+IF(ISNUMBER(G41),G41,0)+IF(ISNUMBER(H41),H41,0)+IF(ISNUMBER(I41),I41,0),0),115))</f>
        <v/>
      </c>
    </row>
    <row r="42">
      <c r="A42" s="11" t="inlineStr">
        <is>
          <t>R</t>
        </is>
      </c>
      <c r="B42" s="12" t="inlineStr">
        <is>
          <t>PTSD</t>
        </is>
      </c>
      <c r="C42" s="13" t="inlineStr">
        <is>
          <t>Clinical Syndromes</t>
        </is>
      </c>
      <c r="D42" s="14" t="n"/>
      <c r="E42" s="14" t="n"/>
      <c r="F42" s="17">
        <f>IF(D19="","",VLOOKUP(MIN(MAX(D19,0),199),Disclosure_Table!A:C,3,TRUE))</f>
        <v/>
      </c>
      <c r="G42" s="15" t="inlineStr">
        <is>
          <t>N/A</t>
        </is>
      </c>
      <c r="H42" s="15" t="n">
        <v>0</v>
      </c>
      <c r="I42" s="15" t="n">
        <v>0</v>
      </c>
      <c r="J42" s="16">
        <f>IF(E42="","",MIN(MAX(E42+IF(ISNUMBER(F42),F42,0)+IF(ISNUMBER(G42),G42,0)+IF(ISNUMBER(H42),H42,0)+IF(ISNUMBER(I42),I42,0),0),115))</f>
        <v/>
      </c>
    </row>
    <row r="43">
      <c r="A43" s="11" t="inlineStr">
        <is>
          <t>SS</t>
        </is>
      </c>
      <c r="B43" s="12" t="inlineStr">
        <is>
          <t>Thought Disorder</t>
        </is>
      </c>
      <c r="C43" s="13" t="inlineStr">
        <is>
          <t>Severe Clinical Syndromes</t>
        </is>
      </c>
      <c r="D43" s="14" t="n"/>
      <c r="E43" s="14" t="n"/>
      <c r="F43" s="17">
        <f>IF(D19="","",VLOOKUP(MIN(MAX(D19,0),199),Disclosure_Table!A:C,3,TRUE))</f>
        <v/>
      </c>
      <c r="G43" s="15" t="inlineStr">
        <is>
          <t>N/A</t>
        </is>
      </c>
      <c r="H43" s="17">
        <f>IF(D13="Y",IF(D14&lt;1,6,IF(D14&lt;=4,4,0)),0)</f>
        <v/>
      </c>
      <c r="I43" s="15" t="n">
        <v>0</v>
      </c>
      <c r="J43" s="16">
        <f>IF(E43="","",MIN(MAX(E43+IF(ISNUMBER(F43),F43,0)+IF(ISNUMBER(G43),G43,0)+IF(ISNUMBER(H43),H43,0)+IF(ISNUMBER(I43),I43,0),0),115))</f>
        <v/>
      </c>
    </row>
    <row r="44">
      <c r="A44" s="11" t="inlineStr">
        <is>
          <t>CC</t>
        </is>
      </c>
      <c r="B44" s="12" t="inlineStr">
        <is>
          <t>Major Depression</t>
        </is>
      </c>
      <c r="C44" s="13" t="inlineStr">
        <is>
          <t>Severe Clinical Syndromes</t>
        </is>
      </c>
      <c r="D44" s="14" t="n"/>
      <c r="E44" s="14" t="n"/>
      <c r="F44" s="17">
        <f>IF(D19="","",VLOOKUP(MIN(MAX(D19,0),199),Disclosure_Table!A:C,3,TRUE))</f>
        <v/>
      </c>
      <c r="G44" s="15" t="inlineStr">
        <is>
          <t>N/A</t>
        </is>
      </c>
      <c r="H44" s="17">
        <f>IF(D13="Y",IF(D14&lt;1,10,IF(D14&lt;=4,8,0)),0)</f>
        <v/>
      </c>
      <c r="I44" s="15" t="n">
        <v>0</v>
      </c>
      <c r="J44" s="16">
        <f>IF(E44="","",MIN(MAX(E44+IF(ISNUMBER(F44),F44,0)+IF(ISNUMBER(G44),G44,0)+IF(ISNUMBER(H44),H44,0)+IF(ISNUMBER(I44),I44,0),0),115))</f>
        <v/>
      </c>
    </row>
    <row r="45">
      <c r="A45" s="11" t="inlineStr">
        <is>
          <t>PP</t>
        </is>
      </c>
      <c r="B45" s="12" t="inlineStr">
        <is>
          <t>Delusional Disorder</t>
        </is>
      </c>
      <c r="C45" s="13" t="inlineStr">
        <is>
          <t>Severe Clinical Syndromes</t>
        </is>
      </c>
      <c r="D45" s="14" t="n"/>
      <c r="E45" s="14" t="n"/>
      <c r="F45" s="17">
        <f>IF(D19="","",VLOOKUP(MIN(MAX(D19,0),199),Disclosure_Table!A:C,3,TRUE))</f>
        <v/>
      </c>
      <c r="G45" s="15" t="inlineStr">
        <is>
          <t>N/A</t>
        </is>
      </c>
      <c r="H45" s="17">
        <f>IF(D13="Y",IF(D14&lt;1,4,IF(D14&lt;=4,2,0)),0)</f>
        <v/>
      </c>
      <c r="I45" s="15" t="n">
        <v>0</v>
      </c>
      <c r="J45" s="16">
        <f>IF(E45="","",MIN(MAX(E45+IF(ISNUMBER(F45),F45,0)+IF(ISNUMBER(G45),G45,0)+IF(ISNUMBER(H45),H45,0)+IF(ISNUMBER(I45),I45,0),0),115))</f>
        <v/>
      </c>
    </row>
    <row r="48">
      <c r="A48" s="9" t="inlineStr">
        <is>
          <t>CLINICAL SIGNIFICANCE OF FINAL BR SCORES</t>
        </is>
      </c>
    </row>
    <row r="49">
      <c r="A49" s="18" t="inlineStr">
        <is>
          <t>Scale Code</t>
        </is>
      </c>
      <c r="B49" s="18" t="inlineStr">
        <is>
          <t>Scale Name</t>
        </is>
      </c>
      <c r="C49" s="18" t="inlineStr">
        <is>
          <t>Final BR</t>
        </is>
      </c>
      <c r="D49" s="18" t="inlineStr">
        <is>
          <t>Clinical Significance</t>
        </is>
      </c>
    </row>
    <row r="50">
      <c r="A50" s="19" t="inlineStr">
        <is>
          <t>X</t>
        </is>
      </c>
      <c r="B50" s="20" t="inlineStr">
        <is>
          <t>Disclosure</t>
        </is>
      </c>
      <c r="C50" s="19">
        <f>J19</f>
        <v/>
      </c>
      <c r="D50" s="21">
        <f>IF(J19="","",IF(J19&gt;=85,"⚠ PROMINENT / PATHOLOGICAL",IF(J19&gt;=75,"● PRESENT / TRAIT LEVEL",IF(J19&gt;=60,"○ Suggestive features","— Normal / Not significant"))))</f>
        <v/>
      </c>
    </row>
    <row r="51">
      <c r="A51" s="19" t="inlineStr">
        <is>
          <t>Y</t>
        </is>
      </c>
      <c r="B51" s="20" t="inlineStr">
        <is>
          <t>Desirability</t>
        </is>
      </c>
      <c r="C51" s="19">
        <f>J20</f>
        <v/>
      </c>
      <c r="D51" s="21">
        <f>IF(J20="","",IF(J20&gt;=85,"⚠ PROMINENT / PATHOLOGICAL",IF(J20&gt;=75,"● PRESENT / TRAIT LEVEL",IF(J20&gt;=60,"○ Suggestive features","— Normal / Not significant"))))</f>
        <v/>
      </c>
    </row>
    <row r="52">
      <c r="A52" s="19" t="inlineStr">
        <is>
          <t>Z</t>
        </is>
      </c>
      <c r="B52" s="20" t="inlineStr">
        <is>
          <t>Debasement</t>
        </is>
      </c>
      <c r="C52" s="19">
        <f>J21</f>
        <v/>
      </c>
      <c r="D52" s="21">
        <f>IF(J21="","",IF(J21&gt;=85,"⚠ PROMINENT / PATHOLOGICAL",IF(J21&gt;=75,"● PRESENT / TRAIT LEVEL",IF(J21&gt;=60,"○ Suggestive features","— Normal / Not significant"))))</f>
        <v/>
      </c>
    </row>
    <row r="53">
      <c r="A53" s="19" t="inlineStr">
        <is>
          <t>1</t>
        </is>
      </c>
      <c r="B53" s="20" t="inlineStr">
        <is>
          <t>Schizoid</t>
        </is>
      </c>
      <c r="C53" s="19">
        <f>J22</f>
        <v/>
      </c>
      <c r="D53" s="21">
        <f>IF(J22="","",IF(J22&gt;=85,"⚠ PROMINENT / PATHOLOGICAL",IF(J22&gt;=75,"● PRESENT / TRAIT LEVEL",IF(J22&gt;=60,"○ Suggestive features","— Normal / Not significant"))))</f>
        <v/>
      </c>
    </row>
    <row r="54">
      <c r="A54" s="19" t="inlineStr">
        <is>
          <t>2A</t>
        </is>
      </c>
      <c r="B54" s="20" t="inlineStr">
        <is>
          <t>Avoidant</t>
        </is>
      </c>
      <c r="C54" s="19">
        <f>J23</f>
        <v/>
      </c>
      <c r="D54" s="21">
        <f>IF(J23="","",IF(J23&gt;=85,"⚠ PROMINENT / PATHOLOGICAL",IF(J23&gt;=75,"● PRESENT / TRAIT LEVEL",IF(J23&gt;=60,"○ Suggestive features","— Normal / Not significant"))))</f>
        <v/>
      </c>
    </row>
    <row r="55">
      <c r="A55" s="19" t="inlineStr">
        <is>
          <t>2B</t>
        </is>
      </c>
      <c r="B55" s="20" t="inlineStr">
        <is>
          <t>Depressive</t>
        </is>
      </c>
      <c r="C55" s="19">
        <f>J24</f>
        <v/>
      </c>
      <c r="D55" s="21">
        <f>IF(J24="","",IF(J24&gt;=85,"⚠ PROMINENT / PATHOLOGICAL",IF(J24&gt;=75,"● PRESENT / TRAIT LEVEL",IF(J24&gt;=60,"○ Suggestive features","— Normal / Not significant"))))</f>
        <v/>
      </c>
    </row>
    <row r="56">
      <c r="A56" s="19" t="inlineStr">
        <is>
          <t>3</t>
        </is>
      </c>
      <c r="B56" s="20" t="inlineStr">
        <is>
          <t>Dependent</t>
        </is>
      </c>
      <c r="C56" s="19">
        <f>J25</f>
        <v/>
      </c>
      <c r="D56" s="21">
        <f>IF(J25="","",IF(J25&gt;=85,"⚠ PROMINENT / PATHOLOGICAL",IF(J25&gt;=75,"● PRESENT / TRAIT LEVEL",IF(J25&gt;=60,"○ Suggestive features","— Normal / Not significant"))))</f>
        <v/>
      </c>
    </row>
    <row r="57">
      <c r="A57" s="19" t="inlineStr">
        <is>
          <t>4</t>
        </is>
      </c>
      <c r="B57" s="20" t="inlineStr">
        <is>
          <t>Histrionic</t>
        </is>
      </c>
      <c r="C57" s="19">
        <f>J26</f>
        <v/>
      </c>
      <c r="D57" s="21">
        <f>IF(J26="","",IF(J26&gt;=85,"⚠ PROMINENT / PATHOLOGICAL",IF(J26&gt;=75,"● PRESENT / TRAIT LEVEL",IF(J26&gt;=60,"○ Suggestive features","— Normal / Not significant"))))</f>
        <v/>
      </c>
    </row>
    <row r="58">
      <c r="A58" s="19" t="inlineStr">
        <is>
          <t>5</t>
        </is>
      </c>
      <c r="B58" s="20" t="inlineStr">
        <is>
          <t>Narcissistic</t>
        </is>
      </c>
      <c r="C58" s="19">
        <f>J27</f>
        <v/>
      </c>
      <c r="D58" s="21">
        <f>IF(J27="","",IF(J27&gt;=85,"⚠ PROMINENT / PATHOLOGICAL",IF(J27&gt;=75,"● PRESENT / TRAIT LEVEL",IF(J27&gt;=60,"○ Suggestive features","— Normal / Not significant"))))</f>
        <v/>
      </c>
    </row>
    <row r="59">
      <c r="A59" s="19" t="inlineStr">
        <is>
          <t>6A</t>
        </is>
      </c>
      <c r="B59" s="20" t="inlineStr">
        <is>
          <t>Antisocial</t>
        </is>
      </c>
      <c r="C59" s="19">
        <f>J28</f>
        <v/>
      </c>
      <c r="D59" s="21">
        <f>IF(J28="","",IF(J28&gt;=85,"⚠ PROMINENT / PATHOLOGICAL",IF(J28&gt;=75,"● PRESENT / TRAIT LEVEL",IF(J28&gt;=60,"○ Suggestive features","— Normal / Not significant"))))</f>
        <v/>
      </c>
    </row>
    <row r="60">
      <c r="A60" s="19" t="inlineStr">
        <is>
          <t>6B</t>
        </is>
      </c>
      <c r="B60" s="20" t="inlineStr">
        <is>
          <t>Sadistic (Aggressive)</t>
        </is>
      </c>
      <c r="C60" s="19">
        <f>J29</f>
        <v/>
      </c>
      <c r="D60" s="21">
        <f>IF(J29="","",IF(J29&gt;=85,"⚠ PROMINENT / PATHOLOGICAL",IF(J29&gt;=75,"● PRESENT / TRAIT LEVEL",IF(J29&gt;=60,"○ Suggestive features","— Normal / Not significant"))))</f>
        <v/>
      </c>
    </row>
    <row r="61">
      <c r="A61" s="19" t="inlineStr">
        <is>
          <t>7</t>
        </is>
      </c>
      <c r="B61" s="20" t="inlineStr">
        <is>
          <t>Compulsive</t>
        </is>
      </c>
      <c r="C61" s="19">
        <f>J30</f>
        <v/>
      </c>
      <c r="D61" s="21">
        <f>IF(J30="","",IF(J30&gt;=85,"⚠ PROMINENT / PATHOLOGICAL",IF(J30&gt;=75,"● PRESENT / TRAIT LEVEL",IF(J30&gt;=60,"○ Suggestive features","— Normal / Not significant"))))</f>
        <v/>
      </c>
    </row>
    <row r="62">
      <c r="A62" s="19" t="inlineStr">
        <is>
          <t>8A</t>
        </is>
      </c>
      <c r="B62" s="20" t="inlineStr">
        <is>
          <t>Negativistic (Passive-Aggressive)</t>
        </is>
      </c>
      <c r="C62" s="19">
        <f>J31</f>
        <v/>
      </c>
      <c r="D62" s="21">
        <f>IF(J31="","",IF(J31&gt;=85,"⚠ PROMINENT / PATHOLOGICAL",IF(J31&gt;=75,"● PRESENT / TRAIT LEVEL",IF(J31&gt;=60,"○ Suggestive features","— Normal / Not significant"))))</f>
        <v/>
      </c>
    </row>
    <row r="63">
      <c r="A63" s="19" t="inlineStr">
        <is>
          <t>8B</t>
        </is>
      </c>
      <c r="B63" s="20" t="inlineStr">
        <is>
          <t>Masochistic (Self-Defeating)</t>
        </is>
      </c>
      <c r="C63" s="19">
        <f>J32</f>
        <v/>
      </c>
      <c r="D63" s="21">
        <f>IF(J32="","",IF(J32&gt;=85,"⚠ PROMINENT / PATHOLOGICAL",IF(J32&gt;=75,"● PRESENT / TRAIT LEVEL",IF(J32&gt;=60,"○ Suggestive features","— Normal / Not significant"))))</f>
        <v/>
      </c>
    </row>
    <row r="64">
      <c r="A64" s="19" t="inlineStr">
        <is>
          <t>S</t>
        </is>
      </c>
      <c r="B64" s="20" t="inlineStr">
        <is>
          <t>Schizotypal</t>
        </is>
      </c>
      <c r="C64" s="19">
        <f>J33</f>
        <v/>
      </c>
      <c r="D64" s="21">
        <f>IF(J33="","",IF(J33&gt;=85,"⚠ PROMINENT / PATHOLOGICAL",IF(J33&gt;=75,"● PRESENT / TRAIT LEVEL",IF(J33&gt;=60,"○ Suggestive features","— Normal / Not significant"))))</f>
        <v/>
      </c>
    </row>
    <row r="65">
      <c r="A65" s="19" t="inlineStr">
        <is>
          <t>C</t>
        </is>
      </c>
      <c r="B65" s="20" t="inlineStr">
        <is>
          <t>Borderline</t>
        </is>
      </c>
      <c r="C65" s="19">
        <f>J34</f>
        <v/>
      </c>
      <c r="D65" s="21">
        <f>IF(J34="","",IF(J34&gt;=85,"⚠ PROMINENT / PATHOLOGICAL",IF(J34&gt;=75,"● PRESENT / TRAIT LEVEL",IF(J34&gt;=60,"○ Suggestive features","— Normal / Not significant"))))</f>
        <v/>
      </c>
    </row>
    <row r="66">
      <c r="A66" s="19" t="inlineStr">
        <is>
          <t>P</t>
        </is>
      </c>
      <c r="B66" s="20" t="inlineStr">
        <is>
          <t>Paranoid</t>
        </is>
      </c>
      <c r="C66" s="19">
        <f>J35</f>
        <v/>
      </c>
      <c r="D66" s="21">
        <f>IF(J35="","",IF(J35&gt;=85,"⚠ PROMINENT / PATHOLOGICAL",IF(J35&gt;=75,"● PRESENT / TRAIT LEVEL",IF(J35&gt;=60,"○ Suggestive features","— Normal / Not significant"))))</f>
        <v/>
      </c>
    </row>
    <row r="67">
      <c r="A67" s="19" t="inlineStr">
        <is>
          <t>A</t>
        </is>
      </c>
      <c r="B67" s="20" t="inlineStr">
        <is>
          <t>Anxiety</t>
        </is>
      </c>
      <c r="C67" s="19">
        <f>J36</f>
        <v/>
      </c>
      <c r="D67" s="21">
        <f>IF(J36="","",IF(J36&gt;=85,"⚠ PROMINENT / PATHOLOGICAL",IF(J36&gt;=75,"● PRESENT / TRAIT LEVEL",IF(J36&gt;=60,"○ Suggestive features","— Normal / Not significant"))))</f>
        <v/>
      </c>
    </row>
    <row r="68">
      <c r="A68" s="19" t="inlineStr">
        <is>
          <t>H</t>
        </is>
      </c>
      <c r="B68" s="20" t="inlineStr">
        <is>
          <t>Somatoform</t>
        </is>
      </c>
      <c r="C68" s="19">
        <f>J37</f>
        <v/>
      </c>
      <c r="D68" s="21">
        <f>IF(J37="","",IF(J37&gt;=85,"⚠ PROMINENT / PATHOLOGICAL",IF(J37&gt;=75,"● PRESENT / TRAIT LEVEL",IF(J37&gt;=60,"○ Suggestive features","— Normal / Not significant"))))</f>
        <v/>
      </c>
    </row>
    <row r="69">
      <c r="A69" s="19" t="inlineStr">
        <is>
          <t>N</t>
        </is>
      </c>
      <c r="B69" s="20" t="inlineStr">
        <is>
          <t>Bipolar: Manic</t>
        </is>
      </c>
      <c r="C69" s="19">
        <f>J38</f>
        <v/>
      </c>
      <c r="D69" s="21">
        <f>IF(J38="","",IF(J38&gt;=85,"⚠ PROMINENT / PATHOLOGICAL",IF(J38&gt;=75,"● PRESENT / TRAIT LEVEL",IF(J38&gt;=60,"○ Suggestive features","— Normal / Not significant"))))</f>
        <v/>
      </c>
    </row>
    <row r="70">
      <c r="A70" s="19" t="inlineStr">
        <is>
          <t>D</t>
        </is>
      </c>
      <c r="B70" s="20" t="inlineStr">
        <is>
          <t>Dysthymia</t>
        </is>
      </c>
      <c r="C70" s="19">
        <f>J39</f>
        <v/>
      </c>
      <c r="D70" s="21">
        <f>IF(J39="","",IF(J39&gt;=85,"⚠ PROMINENT / PATHOLOGICAL",IF(J39&gt;=75,"● PRESENT / TRAIT LEVEL",IF(J39&gt;=60,"○ Suggestive features","— Normal / Not significant"))))</f>
        <v/>
      </c>
    </row>
    <row r="71">
      <c r="A71" s="19" t="inlineStr">
        <is>
          <t>B</t>
        </is>
      </c>
      <c r="B71" s="20" t="inlineStr">
        <is>
          <t>Alcohol Dependence</t>
        </is>
      </c>
      <c r="C71" s="19">
        <f>J40</f>
        <v/>
      </c>
      <c r="D71" s="21">
        <f>IF(J40="","",IF(J40&gt;=85,"⚠ PROMINENT / PATHOLOGICAL",IF(J40&gt;=75,"● PRESENT / TRAIT LEVEL",IF(J40&gt;=60,"○ Suggestive features","— Normal / Not significant"))))</f>
        <v/>
      </c>
    </row>
    <row r="72">
      <c r="A72" s="19" t="inlineStr">
        <is>
          <t>T</t>
        </is>
      </c>
      <c r="B72" s="20" t="inlineStr">
        <is>
          <t>Drug Dependence</t>
        </is>
      </c>
      <c r="C72" s="19">
        <f>J41</f>
        <v/>
      </c>
      <c r="D72" s="21">
        <f>IF(J41="","",IF(J41&gt;=85,"⚠ PROMINENT / PATHOLOGICAL",IF(J41&gt;=75,"● PRESENT / TRAIT LEVEL",IF(J41&gt;=60,"○ Suggestive features","— Normal / Not significant"))))</f>
        <v/>
      </c>
    </row>
    <row r="73">
      <c r="A73" s="19" t="inlineStr">
        <is>
          <t>R</t>
        </is>
      </c>
      <c r="B73" s="20" t="inlineStr">
        <is>
          <t>PTSD</t>
        </is>
      </c>
      <c r="C73" s="19">
        <f>J42</f>
        <v/>
      </c>
      <c r="D73" s="21">
        <f>IF(J42="","",IF(J42&gt;=85,"⚠ PROMINENT / PATHOLOGICAL",IF(J42&gt;=75,"● PRESENT / TRAIT LEVEL",IF(J42&gt;=60,"○ Suggestive features","— Normal / Not significant"))))</f>
        <v/>
      </c>
    </row>
    <row r="74">
      <c r="A74" s="19" t="inlineStr">
        <is>
          <t>SS</t>
        </is>
      </c>
      <c r="B74" s="20" t="inlineStr">
        <is>
          <t>Thought Disorder</t>
        </is>
      </c>
      <c r="C74" s="19">
        <f>J43</f>
        <v/>
      </c>
      <c r="D74" s="21">
        <f>IF(J43="","",IF(J43&gt;=85,"⚠ PROMINENT / PATHOLOGICAL",IF(J43&gt;=75,"● PRESENT / TRAIT LEVEL",IF(J43&gt;=60,"○ Suggestive features","— Normal / Not significant"))))</f>
        <v/>
      </c>
    </row>
    <row r="75">
      <c r="A75" s="19" t="inlineStr">
        <is>
          <t>CC</t>
        </is>
      </c>
      <c r="B75" s="20" t="inlineStr">
        <is>
          <t>Major Depression</t>
        </is>
      </c>
      <c r="C75" s="19">
        <f>J44</f>
        <v/>
      </c>
      <c r="D75" s="21">
        <f>IF(J44="","",IF(J44&gt;=85,"⚠ PROMINENT / PATHOLOGICAL",IF(J44&gt;=75,"● PRESENT / TRAIT LEVEL",IF(J44&gt;=60,"○ Suggestive features","— Normal / Not significant"))))</f>
        <v/>
      </c>
    </row>
    <row r="76">
      <c r="A76" s="19" t="inlineStr">
        <is>
          <t>PP</t>
        </is>
      </c>
      <c r="B76" s="20" t="inlineStr">
        <is>
          <t>Delusional Disorder</t>
        </is>
      </c>
      <c r="C76" s="19">
        <f>J45</f>
        <v/>
      </c>
      <c r="D76" s="21">
        <f>IF(J45="","",IF(J45&gt;=85,"⚠ PROMINENT / PATHOLOGICAL",IF(J45&gt;=75,"● PRESENT / TRAIT LEVEL",IF(J45&gt;=60,"○ Suggestive features","— Normal / Not significant"))))</f>
        <v/>
      </c>
    </row>
  </sheetData>
  <mergeCells count="4">
    <mergeCell ref="A17:J17"/>
    <mergeCell ref="A1:J1"/>
    <mergeCell ref="A48:J48"/>
    <mergeCell ref="A2:J2"/>
  </mergeCells>
  <conditionalFormatting sqref="J19:J45">
    <cfRule type="cellIs" priority="1" operator="greaterThanOrEqual" dxfId="0">
      <formula>85</formula>
    </cfRule>
    <cfRule type="cellIs" priority="2" operator="between" dxfId="1">
      <formula>75</formula>
      <formula>84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Scale X Raw Score</t>
        </is>
      </c>
      <c r="B1" s="3" t="inlineStr">
        <is>
          <t>1-8B Adjustment</t>
        </is>
      </c>
      <c r="C1" s="3" t="inlineStr">
        <is>
          <t>S-PP Adjustment</t>
        </is>
      </c>
    </row>
    <row r="2">
      <c r="A2" t="n">
        <v>0</v>
      </c>
      <c r="B2" t="n">
        <v>20</v>
      </c>
      <c r="C2" t="n">
        <v>10</v>
      </c>
    </row>
    <row r="3">
      <c r="A3" t="n">
        <v>1</v>
      </c>
      <c r="B3" t="n">
        <v>20</v>
      </c>
      <c r="C3" t="n">
        <v>10</v>
      </c>
    </row>
    <row r="4">
      <c r="A4" t="n">
        <v>2</v>
      </c>
      <c r="B4" t="n">
        <v>20</v>
      </c>
      <c r="C4" t="n">
        <v>10</v>
      </c>
    </row>
    <row r="5">
      <c r="A5" t="n">
        <v>3</v>
      </c>
      <c r="B5" t="n">
        <v>20</v>
      </c>
      <c r="C5" t="n">
        <v>10</v>
      </c>
    </row>
    <row r="6">
      <c r="A6" t="n">
        <v>4</v>
      </c>
      <c r="B6" t="n">
        <v>20</v>
      </c>
      <c r="C6" t="n">
        <v>10</v>
      </c>
    </row>
    <row r="7">
      <c r="A7" t="n">
        <v>5</v>
      </c>
      <c r="B7" t="n">
        <v>20</v>
      </c>
      <c r="C7" t="n">
        <v>10</v>
      </c>
    </row>
    <row r="8">
      <c r="A8" t="n">
        <v>6</v>
      </c>
      <c r="B8" t="n">
        <v>20</v>
      </c>
      <c r="C8" t="n">
        <v>10</v>
      </c>
    </row>
    <row r="9">
      <c r="A9" t="n">
        <v>7</v>
      </c>
      <c r="B9" t="n">
        <v>20</v>
      </c>
      <c r="C9" t="n">
        <v>10</v>
      </c>
    </row>
    <row r="10">
      <c r="A10" t="n">
        <v>8</v>
      </c>
      <c r="B10" t="n">
        <v>20</v>
      </c>
      <c r="C10" t="n">
        <v>10</v>
      </c>
    </row>
    <row r="11">
      <c r="A11" t="n">
        <v>9</v>
      </c>
      <c r="B11" t="n">
        <v>20</v>
      </c>
      <c r="C11" t="n">
        <v>10</v>
      </c>
    </row>
    <row r="12">
      <c r="A12" t="n">
        <v>10</v>
      </c>
      <c r="B12" t="n">
        <v>20</v>
      </c>
      <c r="C12" t="n">
        <v>10</v>
      </c>
    </row>
    <row r="13">
      <c r="A13" t="n">
        <v>11</v>
      </c>
      <c r="B13" t="n">
        <v>20</v>
      </c>
      <c r="C13" t="n">
        <v>10</v>
      </c>
    </row>
    <row r="14">
      <c r="A14" t="n">
        <v>12</v>
      </c>
      <c r="B14" t="n">
        <v>20</v>
      </c>
      <c r="C14" t="n">
        <v>10</v>
      </c>
    </row>
    <row r="15">
      <c r="A15" t="n">
        <v>13</v>
      </c>
      <c r="B15" t="n">
        <v>20</v>
      </c>
      <c r="C15" t="n">
        <v>10</v>
      </c>
    </row>
    <row r="16">
      <c r="A16" t="n">
        <v>14</v>
      </c>
      <c r="B16" t="n">
        <v>20</v>
      </c>
      <c r="C16" t="n">
        <v>10</v>
      </c>
    </row>
    <row r="17">
      <c r="A17" t="n">
        <v>15</v>
      </c>
      <c r="B17" t="n">
        <v>20</v>
      </c>
      <c r="C17" t="n">
        <v>10</v>
      </c>
    </row>
    <row r="18">
      <c r="A18" t="n">
        <v>16</v>
      </c>
      <c r="B18" t="n">
        <v>20</v>
      </c>
      <c r="C18" t="n">
        <v>10</v>
      </c>
    </row>
    <row r="19">
      <c r="A19" t="n">
        <v>17</v>
      </c>
      <c r="B19" t="n">
        <v>20</v>
      </c>
      <c r="C19" t="n">
        <v>10</v>
      </c>
    </row>
    <row r="20">
      <c r="A20" t="n">
        <v>18</v>
      </c>
      <c r="B20" t="n">
        <v>20</v>
      </c>
      <c r="C20" t="n">
        <v>10</v>
      </c>
    </row>
    <row r="21">
      <c r="A21" t="n">
        <v>19</v>
      </c>
      <c r="B21" t="n">
        <v>20</v>
      </c>
      <c r="C21" t="n">
        <v>10</v>
      </c>
    </row>
    <row r="22">
      <c r="A22" t="n">
        <v>20</v>
      </c>
      <c r="B22" t="n">
        <v>20</v>
      </c>
      <c r="C22" t="n">
        <v>10</v>
      </c>
    </row>
    <row r="23">
      <c r="A23" t="n">
        <v>21</v>
      </c>
      <c r="B23" t="n">
        <v>20</v>
      </c>
      <c r="C23" t="n">
        <v>10</v>
      </c>
    </row>
    <row r="24">
      <c r="A24" t="n">
        <v>22</v>
      </c>
      <c r="B24" t="n">
        <v>20</v>
      </c>
      <c r="C24" t="n">
        <v>10</v>
      </c>
    </row>
    <row r="25">
      <c r="A25" t="n">
        <v>23</v>
      </c>
      <c r="B25" t="n">
        <v>20</v>
      </c>
      <c r="C25" t="n">
        <v>10</v>
      </c>
    </row>
    <row r="26">
      <c r="A26" t="n">
        <v>24</v>
      </c>
      <c r="B26" t="n">
        <v>20</v>
      </c>
      <c r="C26" t="n">
        <v>10</v>
      </c>
    </row>
    <row r="27">
      <c r="A27" t="n">
        <v>25</v>
      </c>
      <c r="B27" t="n">
        <v>20</v>
      </c>
      <c r="C27" t="n">
        <v>10</v>
      </c>
    </row>
    <row r="28">
      <c r="A28" t="n">
        <v>26</v>
      </c>
      <c r="B28" t="n">
        <v>20</v>
      </c>
      <c r="C28" t="n">
        <v>10</v>
      </c>
    </row>
    <row r="29">
      <c r="A29" t="n">
        <v>27</v>
      </c>
      <c r="B29" t="n">
        <v>20</v>
      </c>
      <c r="C29" t="n">
        <v>10</v>
      </c>
    </row>
    <row r="30">
      <c r="A30" t="n">
        <v>28</v>
      </c>
      <c r="B30" t="n">
        <v>20</v>
      </c>
      <c r="C30" t="n">
        <v>10</v>
      </c>
    </row>
    <row r="31">
      <c r="A31" t="n">
        <v>29</v>
      </c>
      <c r="B31" t="n">
        <v>20</v>
      </c>
      <c r="C31" t="n">
        <v>10</v>
      </c>
    </row>
    <row r="32">
      <c r="A32" t="n">
        <v>30</v>
      </c>
      <c r="B32" t="n">
        <v>20</v>
      </c>
      <c r="C32" t="n">
        <v>10</v>
      </c>
    </row>
    <row r="33">
      <c r="A33" t="n">
        <v>31</v>
      </c>
      <c r="B33" t="n">
        <v>20</v>
      </c>
      <c r="C33" t="n">
        <v>10</v>
      </c>
    </row>
    <row r="34">
      <c r="A34" t="n">
        <v>32</v>
      </c>
      <c r="B34" t="n">
        <v>20</v>
      </c>
      <c r="C34" t="n">
        <v>10</v>
      </c>
    </row>
    <row r="35">
      <c r="A35" t="n">
        <v>33</v>
      </c>
      <c r="B35" t="n">
        <v>20</v>
      </c>
      <c r="C35" t="n">
        <v>10</v>
      </c>
    </row>
    <row r="36">
      <c r="A36" t="n">
        <v>34</v>
      </c>
      <c r="B36" t="n">
        <v>20</v>
      </c>
      <c r="C36" t="n">
        <v>10</v>
      </c>
    </row>
    <row r="37">
      <c r="A37" t="n">
        <v>35</v>
      </c>
      <c r="B37" t="n">
        <v>20</v>
      </c>
      <c r="C37" t="n">
        <v>10</v>
      </c>
    </row>
    <row r="38">
      <c r="A38" t="n">
        <v>36</v>
      </c>
      <c r="B38" t="n">
        <v>20</v>
      </c>
      <c r="C38" t="n">
        <v>10</v>
      </c>
    </row>
    <row r="39">
      <c r="A39" t="n">
        <v>37</v>
      </c>
      <c r="B39" t="n">
        <v>19</v>
      </c>
      <c r="C39" t="n">
        <v>10</v>
      </c>
    </row>
    <row r="40">
      <c r="A40" t="n">
        <v>38</v>
      </c>
      <c r="B40" t="n">
        <v>18</v>
      </c>
      <c r="C40" t="n">
        <v>10</v>
      </c>
    </row>
    <row r="41">
      <c r="A41" t="n">
        <v>39</v>
      </c>
      <c r="B41" t="n">
        <v>17</v>
      </c>
      <c r="C41" t="n">
        <v>9</v>
      </c>
    </row>
    <row r="42">
      <c r="A42" t="n">
        <v>40</v>
      </c>
      <c r="B42" t="n">
        <v>17</v>
      </c>
      <c r="C42" t="n">
        <v>9</v>
      </c>
    </row>
    <row r="43">
      <c r="A43" t="n">
        <v>41</v>
      </c>
      <c r="B43" t="n">
        <v>16</v>
      </c>
      <c r="C43" t="n">
        <v>9</v>
      </c>
    </row>
    <row r="44">
      <c r="A44" t="n">
        <v>42</v>
      </c>
      <c r="B44" t="n">
        <v>15</v>
      </c>
      <c r="C44" t="n">
        <v>8</v>
      </c>
    </row>
    <row r="45">
      <c r="A45" t="n">
        <v>43</v>
      </c>
      <c r="B45" t="n">
        <v>14</v>
      </c>
      <c r="C45" t="n">
        <v>8</v>
      </c>
    </row>
    <row r="46">
      <c r="A46" t="n">
        <v>44</v>
      </c>
      <c r="B46" t="n">
        <v>13</v>
      </c>
      <c r="C46" t="n">
        <v>7</v>
      </c>
    </row>
    <row r="47">
      <c r="A47" t="n">
        <v>45</v>
      </c>
      <c r="B47" t="n">
        <v>13</v>
      </c>
      <c r="C47" t="n">
        <v>7</v>
      </c>
    </row>
    <row r="48">
      <c r="A48" t="n">
        <v>46</v>
      </c>
      <c r="B48" t="n">
        <v>12</v>
      </c>
      <c r="C48" t="n">
        <v>7</v>
      </c>
    </row>
    <row r="49">
      <c r="A49" t="n">
        <v>47</v>
      </c>
      <c r="B49" t="n">
        <v>11</v>
      </c>
      <c r="C49" t="n">
        <v>6</v>
      </c>
    </row>
    <row r="50">
      <c r="A50" t="n">
        <v>48</v>
      </c>
      <c r="B50" t="n">
        <v>10</v>
      </c>
      <c r="C50" t="n">
        <v>6</v>
      </c>
    </row>
    <row r="51">
      <c r="A51" t="n">
        <v>49</v>
      </c>
      <c r="B51" t="n">
        <v>9</v>
      </c>
      <c r="C51" t="n">
        <v>5</v>
      </c>
    </row>
    <row r="52">
      <c r="A52" t="n">
        <v>50</v>
      </c>
      <c r="B52" t="n">
        <v>9</v>
      </c>
      <c r="C52" t="n">
        <v>5</v>
      </c>
    </row>
    <row r="53">
      <c r="A53" t="n">
        <v>51</v>
      </c>
      <c r="B53" t="n">
        <v>8</v>
      </c>
      <c r="C53" t="n">
        <v>5</v>
      </c>
    </row>
    <row r="54">
      <c r="A54" t="n">
        <v>52</v>
      </c>
      <c r="B54" t="n">
        <v>7</v>
      </c>
      <c r="C54" t="n">
        <v>4</v>
      </c>
    </row>
    <row r="55">
      <c r="A55" t="n">
        <v>53</v>
      </c>
      <c r="B55" t="n">
        <v>6</v>
      </c>
      <c r="C55" t="n">
        <v>4</v>
      </c>
    </row>
    <row r="56">
      <c r="A56" t="n">
        <v>54</v>
      </c>
      <c r="B56" t="n">
        <v>5</v>
      </c>
      <c r="C56" t="n">
        <v>3</v>
      </c>
    </row>
    <row r="57">
      <c r="A57" t="n">
        <v>55</v>
      </c>
      <c r="B57" t="n">
        <v>5</v>
      </c>
      <c r="C57" t="n">
        <v>3</v>
      </c>
    </row>
    <row r="58">
      <c r="A58" t="n">
        <v>56</v>
      </c>
      <c r="B58" t="n">
        <v>4</v>
      </c>
      <c r="C58" t="n">
        <v>3</v>
      </c>
    </row>
    <row r="59">
      <c r="A59" t="n">
        <v>57</v>
      </c>
      <c r="B59" t="n">
        <v>3</v>
      </c>
      <c r="C59" t="n">
        <v>2</v>
      </c>
    </row>
    <row r="60">
      <c r="A60" t="n">
        <v>58</v>
      </c>
      <c r="B60" t="n">
        <v>2</v>
      </c>
      <c r="C60" t="n">
        <v>2</v>
      </c>
    </row>
    <row r="61">
      <c r="A61" t="n">
        <v>59</v>
      </c>
      <c r="B61" t="n">
        <v>1</v>
      </c>
      <c r="C61" t="n">
        <v>1</v>
      </c>
    </row>
    <row r="62">
      <c r="A62" t="n">
        <v>60</v>
      </c>
      <c r="B62" t="n">
        <v>1</v>
      </c>
      <c r="C62" t="n">
        <v>1</v>
      </c>
    </row>
    <row r="63">
      <c r="A63" t="n">
        <v>61</v>
      </c>
      <c r="B63" t="n">
        <v>0</v>
      </c>
      <c r="C63" t="n">
        <v>0</v>
      </c>
    </row>
    <row r="64">
      <c r="A64" t="n">
        <v>62</v>
      </c>
      <c r="B64" t="n">
        <v>0</v>
      </c>
      <c r="C64" t="n">
        <v>0</v>
      </c>
    </row>
    <row r="65">
      <c r="A65" t="n">
        <v>63</v>
      </c>
      <c r="B65" t="n">
        <v>0</v>
      </c>
      <c r="C65" t="n">
        <v>0</v>
      </c>
    </row>
    <row r="66">
      <c r="A66" t="n">
        <v>64</v>
      </c>
      <c r="B66" t="n">
        <v>0</v>
      </c>
      <c r="C66" t="n">
        <v>0</v>
      </c>
    </row>
    <row r="67">
      <c r="A67" t="n">
        <v>65</v>
      </c>
      <c r="B67" t="n">
        <v>0</v>
      </c>
      <c r="C67" t="n">
        <v>0</v>
      </c>
    </row>
    <row r="68">
      <c r="A68" t="n">
        <v>66</v>
      </c>
      <c r="B68" t="n">
        <v>0</v>
      </c>
      <c r="C68" t="n">
        <v>0</v>
      </c>
    </row>
    <row r="69">
      <c r="A69" t="n">
        <v>67</v>
      </c>
      <c r="B69" t="n">
        <v>0</v>
      </c>
      <c r="C69" t="n">
        <v>0</v>
      </c>
    </row>
    <row r="70">
      <c r="A70" t="n">
        <v>68</v>
      </c>
      <c r="B70" t="n">
        <v>0</v>
      </c>
      <c r="C70" t="n">
        <v>0</v>
      </c>
    </row>
    <row r="71">
      <c r="A71" t="n">
        <v>69</v>
      </c>
      <c r="B71" t="n">
        <v>0</v>
      </c>
      <c r="C71" t="n">
        <v>0</v>
      </c>
    </row>
    <row r="72">
      <c r="A72" t="n">
        <v>70</v>
      </c>
      <c r="B72" t="n">
        <v>0</v>
      </c>
      <c r="C72" t="n">
        <v>0</v>
      </c>
    </row>
    <row r="73">
      <c r="A73" t="n">
        <v>71</v>
      </c>
      <c r="B73" t="n">
        <v>0</v>
      </c>
      <c r="C73" t="n">
        <v>0</v>
      </c>
    </row>
    <row r="74">
      <c r="A74" t="n">
        <v>72</v>
      </c>
      <c r="B74" t="n">
        <v>0</v>
      </c>
      <c r="C74" t="n">
        <v>0</v>
      </c>
    </row>
    <row r="75">
      <c r="A75" t="n">
        <v>73</v>
      </c>
      <c r="B75" t="n">
        <v>0</v>
      </c>
      <c r="C75" t="n">
        <v>0</v>
      </c>
    </row>
    <row r="76">
      <c r="A76" t="n">
        <v>74</v>
      </c>
      <c r="B76" t="n">
        <v>0</v>
      </c>
      <c r="C76" t="n">
        <v>0</v>
      </c>
    </row>
    <row r="77">
      <c r="A77" t="n">
        <v>75</v>
      </c>
      <c r="B77" t="n">
        <v>0</v>
      </c>
      <c r="C77" t="n">
        <v>0</v>
      </c>
    </row>
    <row r="78">
      <c r="A78" t="n">
        <v>76</v>
      </c>
      <c r="B78" t="n">
        <v>0</v>
      </c>
      <c r="C78" t="n">
        <v>0</v>
      </c>
    </row>
    <row r="79">
      <c r="A79" t="n">
        <v>77</v>
      </c>
      <c r="B79" t="n">
        <v>0</v>
      </c>
      <c r="C79" t="n">
        <v>0</v>
      </c>
    </row>
    <row r="80">
      <c r="A80" t="n">
        <v>78</v>
      </c>
      <c r="B80" t="n">
        <v>0</v>
      </c>
      <c r="C80" t="n">
        <v>0</v>
      </c>
    </row>
    <row r="81">
      <c r="A81" t="n">
        <v>79</v>
      </c>
      <c r="B81" t="n">
        <v>0</v>
      </c>
      <c r="C81" t="n">
        <v>0</v>
      </c>
    </row>
    <row r="82">
      <c r="A82" t="n">
        <v>80</v>
      </c>
      <c r="B82" t="n">
        <v>0</v>
      </c>
      <c r="C82" t="n">
        <v>0</v>
      </c>
    </row>
    <row r="83">
      <c r="A83" t="n">
        <v>81</v>
      </c>
      <c r="B83" t="n">
        <v>0</v>
      </c>
      <c r="C83" t="n">
        <v>0</v>
      </c>
    </row>
    <row r="84">
      <c r="A84" t="n">
        <v>82</v>
      </c>
      <c r="B84" t="n">
        <v>0</v>
      </c>
      <c r="C84" t="n">
        <v>0</v>
      </c>
    </row>
    <row r="85">
      <c r="A85" t="n">
        <v>83</v>
      </c>
      <c r="B85" t="n">
        <v>0</v>
      </c>
      <c r="C85" t="n">
        <v>0</v>
      </c>
    </row>
    <row r="86">
      <c r="A86" t="n">
        <v>84</v>
      </c>
      <c r="B86" t="n">
        <v>0</v>
      </c>
      <c r="C86" t="n">
        <v>0</v>
      </c>
    </row>
    <row r="87">
      <c r="A87" t="n">
        <v>85</v>
      </c>
      <c r="B87" t="n">
        <v>0</v>
      </c>
      <c r="C87" t="n">
        <v>0</v>
      </c>
    </row>
    <row r="88">
      <c r="A88" t="n">
        <v>86</v>
      </c>
      <c r="B88" t="n">
        <v>0</v>
      </c>
      <c r="C88" t="n">
        <v>0</v>
      </c>
    </row>
    <row r="89">
      <c r="A89" t="n">
        <v>87</v>
      </c>
      <c r="B89" t="n">
        <v>0</v>
      </c>
      <c r="C89" t="n">
        <v>0</v>
      </c>
    </row>
    <row r="90">
      <c r="A90" t="n">
        <v>88</v>
      </c>
      <c r="B90" t="n">
        <v>0</v>
      </c>
      <c r="C90" t="n">
        <v>0</v>
      </c>
    </row>
    <row r="91">
      <c r="A91" t="n">
        <v>89</v>
      </c>
      <c r="B91" t="n">
        <v>0</v>
      </c>
      <c r="C91" t="n">
        <v>0</v>
      </c>
    </row>
    <row r="92">
      <c r="A92" t="n">
        <v>90</v>
      </c>
      <c r="B92" t="n">
        <v>0</v>
      </c>
      <c r="C92" t="n">
        <v>0</v>
      </c>
    </row>
    <row r="93">
      <c r="A93" t="n">
        <v>91</v>
      </c>
      <c r="B93" t="n">
        <v>0</v>
      </c>
      <c r="C93" t="n">
        <v>0</v>
      </c>
    </row>
    <row r="94">
      <c r="A94" t="n">
        <v>92</v>
      </c>
      <c r="B94" t="n">
        <v>0</v>
      </c>
      <c r="C94" t="n">
        <v>0</v>
      </c>
    </row>
    <row r="95">
      <c r="A95" t="n">
        <v>93</v>
      </c>
      <c r="B95" t="n">
        <v>0</v>
      </c>
      <c r="C95" t="n">
        <v>0</v>
      </c>
    </row>
    <row r="96">
      <c r="A96" t="n">
        <v>94</v>
      </c>
      <c r="B96" t="n">
        <v>0</v>
      </c>
      <c r="C96" t="n">
        <v>0</v>
      </c>
    </row>
    <row r="97">
      <c r="A97" t="n">
        <v>95</v>
      </c>
      <c r="B97" t="n">
        <v>0</v>
      </c>
      <c r="C97" t="n">
        <v>0</v>
      </c>
    </row>
    <row r="98">
      <c r="A98" t="n">
        <v>96</v>
      </c>
      <c r="B98" t="n">
        <v>0</v>
      </c>
      <c r="C98" t="n">
        <v>0</v>
      </c>
    </row>
    <row r="99">
      <c r="A99" t="n">
        <v>97</v>
      </c>
      <c r="B99" t="n">
        <v>0</v>
      </c>
      <c r="C99" t="n">
        <v>0</v>
      </c>
    </row>
    <row r="100">
      <c r="A100" t="n">
        <v>98</v>
      </c>
      <c r="B100" t="n">
        <v>0</v>
      </c>
      <c r="C100" t="n">
        <v>0</v>
      </c>
    </row>
    <row r="101">
      <c r="A101" t="n">
        <v>99</v>
      </c>
      <c r="B101" t="n">
        <v>0</v>
      </c>
      <c r="C101" t="n">
        <v>0</v>
      </c>
    </row>
    <row r="102">
      <c r="A102" t="n">
        <v>100</v>
      </c>
      <c r="B102" t="n">
        <v>0</v>
      </c>
      <c r="C102" t="n">
        <v>0</v>
      </c>
    </row>
    <row r="103">
      <c r="A103" t="n">
        <v>101</v>
      </c>
      <c r="B103" t="n">
        <v>0</v>
      </c>
      <c r="C103" t="n">
        <v>0</v>
      </c>
    </row>
    <row r="104">
      <c r="A104" t="n">
        <v>102</v>
      </c>
      <c r="B104" t="n">
        <v>0</v>
      </c>
      <c r="C104" t="n">
        <v>0</v>
      </c>
    </row>
    <row r="105">
      <c r="A105" t="n">
        <v>103</v>
      </c>
      <c r="B105" t="n">
        <v>0</v>
      </c>
      <c r="C105" t="n">
        <v>0</v>
      </c>
    </row>
    <row r="106">
      <c r="A106" t="n">
        <v>104</v>
      </c>
      <c r="B106" t="n">
        <v>0</v>
      </c>
      <c r="C106" t="n">
        <v>0</v>
      </c>
    </row>
    <row r="107">
      <c r="A107" t="n">
        <v>105</v>
      </c>
      <c r="B107" t="n">
        <v>0</v>
      </c>
      <c r="C107" t="n">
        <v>0</v>
      </c>
    </row>
    <row r="108">
      <c r="A108" t="n">
        <v>106</v>
      </c>
      <c r="B108" t="n">
        <v>0</v>
      </c>
      <c r="C108" t="n">
        <v>0</v>
      </c>
    </row>
    <row r="109">
      <c r="A109" t="n">
        <v>107</v>
      </c>
      <c r="B109" t="n">
        <v>0</v>
      </c>
      <c r="C109" t="n">
        <v>0</v>
      </c>
    </row>
    <row r="110">
      <c r="A110" t="n">
        <v>108</v>
      </c>
      <c r="B110" t="n">
        <v>0</v>
      </c>
      <c r="C110" t="n">
        <v>0</v>
      </c>
    </row>
    <row r="111">
      <c r="A111" t="n">
        <v>109</v>
      </c>
      <c r="B111" t="n">
        <v>0</v>
      </c>
      <c r="C111" t="n">
        <v>0</v>
      </c>
    </row>
    <row r="112">
      <c r="A112" t="n">
        <v>110</v>
      </c>
      <c r="B112" t="n">
        <v>0</v>
      </c>
      <c r="C112" t="n">
        <v>0</v>
      </c>
    </row>
    <row r="113">
      <c r="A113" t="n">
        <v>111</v>
      </c>
      <c r="B113" t="n">
        <v>0</v>
      </c>
      <c r="C113" t="n">
        <v>0</v>
      </c>
    </row>
    <row r="114">
      <c r="A114" t="n">
        <v>112</v>
      </c>
      <c r="B114" t="n">
        <v>0</v>
      </c>
      <c r="C114" t="n">
        <v>0</v>
      </c>
    </row>
    <row r="115">
      <c r="A115" t="n">
        <v>113</v>
      </c>
      <c r="B115" t="n">
        <v>0</v>
      </c>
      <c r="C115" t="n">
        <v>0</v>
      </c>
    </row>
    <row r="116">
      <c r="A116" t="n">
        <v>114</v>
      </c>
      <c r="B116" t="n">
        <v>0</v>
      </c>
      <c r="C116" t="n">
        <v>0</v>
      </c>
    </row>
    <row r="117">
      <c r="A117" t="n">
        <v>115</v>
      </c>
      <c r="B117" t="n">
        <v>0</v>
      </c>
      <c r="C117" t="n">
        <v>0</v>
      </c>
    </row>
    <row r="118">
      <c r="A118" t="n">
        <v>116</v>
      </c>
      <c r="B118" t="n">
        <v>0</v>
      </c>
      <c r="C118" t="n">
        <v>0</v>
      </c>
    </row>
    <row r="119">
      <c r="A119" t="n">
        <v>117</v>
      </c>
      <c r="B119" t="n">
        <v>0</v>
      </c>
      <c r="C119" t="n">
        <v>0</v>
      </c>
    </row>
    <row r="120">
      <c r="A120" t="n">
        <v>118</v>
      </c>
      <c r="B120" t="n">
        <v>0</v>
      </c>
      <c r="C120" t="n">
        <v>0</v>
      </c>
    </row>
    <row r="121">
      <c r="A121" t="n">
        <v>119</v>
      </c>
      <c r="B121" t="n">
        <v>0</v>
      </c>
      <c r="C121" t="n">
        <v>0</v>
      </c>
    </row>
    <row r="122">
      <c r="A122" t="n">
        <v>120</v>
      </c>
      <c r="B122" t="n">
        <v>0</v>
      </c>
      <c r="C122" t="n">
        <v>0</v>
      </c>
    </row>
    <row r="123">
      <c r="A123" t="n">
        <v>121</v>
      </c>
      <c r="B123" t="n">
        <v>0</v>
      </c>
      <c r="C123" t="n">
        <v>0</v>
      </c>
    </row>
    <row r="124">
      <c r="A124" t="n">
        <v>122</v>
      </c>
      <c r="B124" t="n">
        <v>0</v>
      </c>
      <c r="C124" t="n">
        <v>0</v>
      </c>
    </row>
    <row r="125">
      <c r="A125" t="n">
        <v>123</v>
      </c>
      <c r="B125" t="n">
        <v>0</v>
      </c>
      <c r="C125" t="n">
        <v>0</v>
      </c>
    </row>
    <row r="126">
      <c r="A126" t="n">
        <v>124</v>
      </c>
      <c r="B126" t="n">
        <v>-1</v>
      </c>
      <c r="C126" t="n">
        <v>-1</v>
      </c>
    </row>
    <row r="127">
      <c r="A127" t="n">
        <v>125</v>
      </c>
      <c r="B127" t="n">
        <v>-1</v>
      </c>
      <c r="C127" t="n">
        <v>-1</v>
      </c>
    </row>
    <row r="128">
      <c r="A128" t="n">
        <v>126</v>
      </c>
      <c r="B128" t="n">
        <v>-1</v>
      </c>
      <c r="C128" t="n">
        <v>-1</v>
      </c>
    </row>
    <row r="129">
      <c r="A129" t="n">
        <v>127</v>
      </c>
      <c r="B129" t="n">
        <v>-2</v>
      </c>
      <c r="C129" t="n">
        <v>-2</v>
      </c>
    </row>
    <row r="130">
      <c r="A130" t="n">
        <v>128</v>
      </c>
      <c r="B130" t="n">
        <v>-2</v>
      </c>
      <c r="C130" t="n">
        <v>-2</v>
      </c>
    </row>
    <row r="131">
      <c r="A131" t="n">
        <v>129</v>
      </c>
      <c r="B131" t="n">
        <v>-3</v>
      </c>
      <c r="C131" t="n">
        <v>-2</v>
      </c>
    </row>
    <row r="132">
      <c r="A132" t="n">
        <v>130</v>
      </c>
      <c r="B132" t="n">
        <v>-3</v>
      </c>
      <c r="C132" t="n">
        <v>-2</v>
      </c>
    </row>
    <row r="133">
      <c r="A133" t="n">
        <v>131</v>
      </c>
      <c r="B133" t="n">
        <v>-3</v>
      </c>
      <c r="C133" t="n">
        <v>-2</v>
      </c>
    </row>
    <row r="134">
      <c r="A134" t="n">
        <v>132</v>
      </c>
      <c r="B134" t="n">
        <v>-4</v>
      </c>
      <c r="C134" t="n">
        <v>-3</v>
      </c>
    </row>
    <row r="135">
      <c r="A135" t="n">
        <v>133</v>
      </c>
      <c r="B135" t="n">
        <v>-4</v>
      </c>
      <c r="C135" t="n">
        <v>-3</v>
      </c>
    </row>
    <row r="136">
      <c r="A136" t="n">
        <v>134</v>
      </c>
      <c r="B136" t="n">
        <v>-5</v>
      </c>
      <c r="C136" t="n">
        <v>-3</v>
      </c>
    </row>
    <row r="137">
      <c r="A137" t="n">
        <v>135</v>
      </c>
      <c r="B137" t="n">
        <v>-5</v>
      </c>
      <c r="C137" t="n">
        <v>-3</v>
      </c>
    </row>
    <row r="138">
      <c r="A138" t="n">
        <v>136</v>
      </c>
      <c r="B138" t="n">
        <v>-5</v>
      </c>
      <c r="C138" t="n">
        <v>-3</v>
      </c>
    </row>
    <row r="139">
      <c r="A139" t="n">
        <v>137</v>
      </c>
      <c r="B139" t="n">
        <v>-6</v>
      </c>
      <c r="C139" t="n">
        <v>-4</v>
      </c>
    </row>
    <row r="140">
      <c r="A140" t="n">
        <v>138</v>
      </c>
      <c r="B140" t="n">
        <v>-6</v>
      </c>
      <c r="C140" t="n">
        <v>-4</v>
      </c>
    </row>
    <row r="141">
      <c r="A141" t="n">
        <v>139</v>
      </c>
      <c r="B141" t="n">
        <v>-7</v>
      </c>
      <c r="C141" t="n">
        <v>-4</v>
      </c>
    </row>
    <row r="142">
      <c r="A142" t="n">
        <v>140</v>
      </c>
      <c r="B142" t="n">
        <v>-7</v>
      </c>
      <c r="C142" t="n">
        <v>-4</v>
      </c>
    </row>
    <row r="143">
      <c r="A143" t="n">
        <v>141</v>
      </c>
      <c r="B143" t="n">
        <v>-7</v>
      </c>
      <c r="C143" t="n">
        <v>-4</v>
      </c>
    </row>
    <row r="144">
      <c r="A144" t="n">
        <v>142</v>
      </c>
      <c r="B144" t="n">
        <v>-8</v>
      </c>
      <c r="C144" t="n">
        <v>-5</v>
      </c>
    </row>
    <row r="145">
      <c r="A145" t="n">
        <v>143</v>
      </c>
      <c r="B145" t="n">
        <v>-8</v>
      </c>
      <c r="C145" t="n">
        <v>-5</v>
      </c>
    </row>
    <row r="146">
      <c r="A146" t="n">
        <v>144</v>
      </c>
      <c r="B146" t="n">
        <v>-9</v>
      </c>
      <c r="C146" t="n">
        <v>-5</v>
      </c>
    </row>
    <row r="147">
      <c r="A147" t="n">
        <v>145</v>
      </c>
      <c r="B147" t="n">
        <v>-9</v>
      </c>
      <c r="C147" t="n">
        <v>-5</v>
      </c>
    </row>
    <row r="148">
      <c r="A148" t="n">
        <v>146</v>
      </c>
      <c r="B148" t="n">
        <v>-9</v>
      </c>
      <c r="C148" t="n">
        <v>-5</v>
      </c>
    </row>
    <row r="149">
      <c r="A149" t="n">
        <v>147</v>
      </c>
      <c r="B149" t="n">
        <v>-10</v>
      </c>
      <c r="C149" t="n">
        <v>-6</v>
      </c>
    </row>
    <row r="150">
      <c r="A150" t="n">
        <v>148</v>
      </c>
      <c r="B150" t="n">
        <v>-10</v>
      </c>
      <c r="C150" t="n">
        <v>-6</v>
      </c>
    </row>
    <row r="151">
      <c r="A151" t="n">
        <v>149</v>
      </c>
      <c r="B151" t="n">
        <v>-11</v>
      </c>
      <c r="C151" t="n">
        <v>-6</v>
      </c>
    </row>
    <row r="152">
      <c r="A152" t="n">
        <v>150</v>
      </c>
      <c r="B152" t="n">
        <v>-11</v>
      </c>
      <c r="C152" t="n">
        <v>-6</v>
      </c>
    </row>
    <row r="153">
      <c r="A153" t="n">
        <v>151</v>
      </c>
      <c r="B153" t="n">
        <v>-11</v>
      </c>
      <c r="C153" t="n">
        <v>-6</v>
      </c>
    </row>
    <row r="154">
      <c r="A154" t="n">
        <v>152</v>
      </c>
      <c r="B154" t="n">
        <v>-12</v>
      </c>
      <c r="C154" t="n">
        <v>-7</v>
      </c>
    </row>
    <row r="155">
      <c r="A155" t="n">
        <v>153</v>
      </c>
      <c r="B155" t="n">
        <v>-12</v>
      </c>
      <c r="C155" t="n">
        <v>-7</v>
      </c>
    </row>
    <row r="156">
      <c r="A156" t="n">
        <v>154</v>
      </c>
      <c r="B156" t="n">
        <v>-13</v>
      </c>
      <c r="C156" t="n">
        <v>-7</v>
      </c>
    </row>
    <row r="157">
      <c r="A157" t="n">
        <v>155</v>
      </c>
      <c r="B157" t="n">
        <v>-13</v>
      </c>
      <c r="C157" t="n">
        <v>-7</v>
      </c>
    </row>
    <row r="158">
      <c r="A158" t="n">
        <v>156</v>
      </c>
      <c r="B158" t="n">
        <v>-13</v>
      </c>
      <c r="C158" t="n">
        <v>-7</v>
      </c>
    </row>
    <row r="159">
      <c r="A159" t="n">
        <v>157</v>
      </c>
      <c r="B159" t="n">
        <v>-14</v>
      </c>
      <c r="C159" t="n">
        <v>-8</v>
      </c>
    </row>
    <row r="160">
      <c r="A160" t="n">
        <v>158</v>
      </c>
      <c r="B160" t="n">
        <v>-14</v>
      </c>
      <c r="C160" t="n">
        <v>-8</v>
      </c>
    </row>
    <row r="161">
      <c r="A161" t="n">
        <v>159</v>
      </c>
      <c r="B161" t="n">
        <v>-15</v>
      </c>
      <c r="C161" t="n">
        <v>-8</v>
      </c>
    </row>
    <row r="162">
      <c r="A162" t="n">
        <v>160</v>
      </c>
      <c r="B162" t="n">
        <v>-15</v>
      </c>
      <c r="C162" t="n">
        <v>-8</v>
      </c>
    </row>
    <row r="163">
      <c r="A163" t="n">
        <v>161</v>
      </c>
      <c r="B163" t="n">
        <v>-15</v>
      </c>
      <c r="C163" t="n">
        <v>-8</v>
      </c>
    </row>
    <row r="164">
      <c r="A164" t="n">
        <v>162</v>
      </c>
      <c r="B164" t="n">
        <v>-16</v>
      </c>
      <c r="C164" t="n">
        <v>-9</v>
      </c>
    </row>
    <row r="165">
      <c r="A165" t="n">
        <v>163</v>
      </c>
      <c r="B165" t="n">
        <v>-16</v>
      </c>
      <c r="C165" t="n">
        <v>-9</v>
      </c>
    </row>
    <row r="166">
      <c r="A166" t="n">
        <v>164</v>
      </c>
      <c r="B166" t="n">
        <v>-17</v>
      </c>
      <c r="C166" t="n">
        <v>-9</v>
      </c>
    </row>
    <row r="167">
      <c r="A167" t="n">
        <v>165</v>
      </c>
      <c r="B167" t="n">
        <v>-17</v>
      </c>
      <c r="C167" t="n">
        <v>-9</v>
      </c>
    </row>
    <row r="168">
      <c r="A168" t="n">
        <v>166</v>
      </c>
      <c r="B168" t="n">
        <v>-17</v>
      </c>
      <c r="C168" t="n">
        <v>-9</v>
      </c>
    </row>
    <row r="169">
      <c r="A169" t="n">
        <v>167</v>
      </c>
      <c r="B169" t="n">
        <v>-18</v>
      </c>
      <c r="C169" t="n">
        <v>-10</v>
      </c>
    </row>
    <row r="170">
      <c r="A170" t="n">
        <v>168</v>
      </c>
      <c r="B170" t="n">
        <v>-18</v>
      </c>
      <c r="C170" t="n">
        <v>-10</v>
      </c>
    </row>
    <row r="171">
      <c r="A171" t="n">
        <v>169</v>
      </c>
      <c r="B171" t="n">
        <v>-19</v>
      </c>
      <c r="C171" t="n">
        <v>-10</v>
      </c>
    </row>
    <row r="172">
      <c r="A172" t="n">
        <v>170</v>
      </c>
      <c r="B172" t="n">
        <v>-19</v>
      </c>
      <c r="C172" t="n">
        <v>-10</v>
      </c>
    </row>
    <row r="173">
      <c r="A173" t="n">
        <v>171</v>
      </c>
      <c r="B173" t="n">
        <v>-19</v>
      </c>
      <c r="C173" t="n">
        <v>-10</v>
      </c>
    </row>
    <row r="174">
      <c r="A174" t="n">
        <v>172</v>
      </c>
      <c r="B174" t="n">
        <v>-20</v>
      </c>
      <c r="C174" t="n">
        <v>-11</v>
      </c>
    </row>
    <row r="175">
      <c r="A175" t="n">
        <v>173</v>
      </c>
      <c r="B175" t="n">
        <v>-20</v>
      </c>
      <c r="C175" t="n">
        <v>-11</v>
      </c>
    </row>
    <row r="176">
      <c r="A176" t="n">
        <v>174</v>
      </c>
      <c r="B176" t="n">
        <v>-20</v>
      </c>
      <c r="C176" t="n">
        <v>-11</v>
      </c>
    </row>
    <row r="177">
      <c r="A177" t="n">
        <v>175</v>
      </c>
      <c r="B177" t="n">
        <v>-20</v>
      </c>
      <c r="C177" t="n">
        <v>-11</v>
      </c>
    </row>
    <row r="178">
      <c r="A178" t="n">
        <v>176</v>
      </c>
      <c r="B178" t="n">
        <v>-20</v>
      </c>
      <c r="C178" t="n">
        <v>-11</v>
      </c>
    </row>
    <row r="179">
      <c r="A179" t="n">
        <v>177</v>
      </c>
      <c r="B179" t="n">
        <v>-20</v>
      </c>
      <c r="C179" t="n">
        <v>-11</v>
      </c>
    </row>
    <row r="180">
      <c r="A180" t="n">
        <v>178</v>
      </c>
      <c r="B180" t="n">
        <v>-20</v>
      </c>
      <c r="C180" t="n">
        <v>-11</v>
      </c>
    </row>
    <row r="181">
      <c r="A181" t="n">
        <v>179</v>
      </c>
      <c r="B181" t="n">
        <v>-20</v>
      </c>
      <c r="C181" t="n">
        <v>-11</v>
      </c>
    </row>
    <row r="182">
      <c r="A182" t="n">
        <v>180</v>
      </c>
      <c r="B182" t="n">
        <v>-20</v>
      </c>
      <c r="C182" t="n">
        <v>-11</v>
      </c>
    </row>
    <row r="183">
      <c r="A183" t="n">
        <v>181</v>
      </c>
      <c r="B183" t="n">
        <v>-20</v>
      </c>
      <c r="C183" t="n">
        <v>-11</v>
      </c>
    </row>
    <row r="184">
      <c r="A184" t="n">
        <v>182</v>
      </c>
      <c r="B184" t="n">
        <v>-20</v>
      </c>
      <c r="C184" t="n">
        <v>-11</v>
      </c>
    </row>
    <row r="185">
      <c r="A185" t="n">
        <v>183</v>
      </c>
      <c r="B185" t="n">
        <v>-20</v>
      </c>
      <c r="C185" t="n">
        <v>-11</v>
      </c>
    </row>
    <row r="186">
      <c r="A186" t="n">
        <v>184</v>
      </c>
      <c r="B186" t="n">
        <v>-20</v>
      </c>
      <c r="C186" t="n">
        <v>-11</v>
      </c>
    </row>
    <row r="187">
      <c r="A187" t="n">
        <v>185</v>
      </c>
      <c r="B187" t="n">
        <v>-20</v>
      </c>
      <c r="C187" t="n">
        <v>-11</v>
      </c>
    </row>
    <row r="188">
      <c r="A188" t="n">
        <v>186</v>
      </c>
      <c r="B188" t="n">
        <v>-20</v>
      </c>
      <c r="C188" t="n">
        <v>-11</v>
      </c>
    </row>
    <row r="189">
      <c r="A189" t="n">
        <v>187</v>
      </c>
      <c r="B189" t="n">
        <v>-20</v>
      </c>
      <c r="C189" t="n">
        <v>-11</v>
      </c>
    </row>
    <row r="190">
      <c r="A190" t="n">
        <v>188</v>
      </c>
      <c r="B190" t="n">
        <v>-20</v>
      </c>
      <c r="C190" t="n">
        <v>-11</v>
      </c>
    </row>
    <row r="191">
      <c r="A191" t="n">
        <v>189</v>
      </c>
      <c r="B191" t="n">
        <v>-20</v>
      </c>
      <c r="C191" t="n">
        <v>-11</v>
      </c>
    </row>
    <row r="192">
      <c r="A192" t="n">
        <v>190</v>
      </c>
      <c r="B192" t="n">
        <v>-20</v>
      </c>
      <c r="C192" t="n">
        <v>-11</v>
      </c>
    </row>
    <row r="193">
      <c r="A193" t="n">
        <v>191</v>
      </c>
      <c r="B193" t="n">
        <v>-20</v>
      </c>
      <c r="C193" t="n">
        <v>-11</v>
      </c>
    </row>
    <row r="194">
      <c r="A194" t="n">
        <v>192</v>
      </c>
      <c r="B194" t="n">
        <v>-20</v>
      </c>
      <c r="C194" t="n">
        <v>-11</v>
      </c>
    </row>
    <row r="195">
      <c r="A195" t="n">
        <v>193</v>
      </c>
      <c r="B195" t="n">
        <v>-20</v>
      </c>
      <c r="C195" t="n">
        <v>-11</v>
      </c>
    </row>
    <row r="196">
      <c r="A196" t="n">
        <v>194</v>
      </c>
      <c r="B196" t="n">
        <v>-20</v>
      </c>
      <c r="C196" t="n">
        <v>-11</v>
      </c>
    </row>
    <row r="197">
      <c r="A197" t="n">
        <v>195</v>
      </c>
      <c r="B197" t="n">
        <v>-20</v>
      </c>
      <c r="C197" t="n">
        <v>-11</v>
      </c>
    </row>
    <row r="198">
      <c r="A198" t="n">
        <v>196</v>
      </c>
      <c r="B198" t="n">
        <v>-20</v>
      </c>
      <c r="C198" t="n">
        <v>-11</v>
      </c>
    </row>
    <row r="199">
      <c r="A199" t="n">
        <v>197</v>
      </c>
      <c r="B199" t="n">
        <v>-20</v>
      </c>
      <c r="C199" t="n">
        <v>-11</v>
      </c>
    </row>
    <row r="200">
      <c r="A200" t="n">
        <v>198</v>
      </c>
      <c r="B200" t="n">
        <v>-20</v>
      </c>
      <c r="C200" t="n">
        <v>-11</v>
      </c>
    </row>
    <row r="201">
      <c r="A201" t="n">
        <v>199</v>
      </c>
      <c r="B201" t="n">
        <v>-20</v>
      </c>
      <c r="C201" t="n">
        <v>-11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A/D Value</t>
        </is>
      </c>
      <c r="B1" s="3" t="inlineStr">
        <is>
          <t>2B, 8B, C Adjustment</t>
        </is>
      </c>
    </row>
    <row r="2">
      <c r="A2" t="n">
        <v>0</v>
      </c>
      <c r="B2" t="n">
        <v>-1</v>
      </c>
    </row>
    <row r="3">
      <c r="A3" t="n">
        <v>1</v>
      </c>
      <c r="B3" t="n">
        <v>-1</v>
      </c>
    </row>
    <row r="4">
      <c r="A4" t="n">
        <v>2</v>
      </c>
      <c r="B4" t="n">
        <v>-1</v>
      </c>
    </row>
    <row r="5">
      <c r="A5" t="n">
        <v>3</v>
      </c>
      <c r="B5" t="n">
        <v>-1</v>
      </c>
    </row>
    <row r="6">
      <c r="A6" t="n">
        <v>4</v>
      </c>
      <c r="B6" t="n">
        <v>-1</v>
      </c>
    </row>
    <row r="7">
      <c r="A7" t="n">
        <v>5</v>
      </c>
      <c r="B7" t="n">
        <v>-1</v>
      </c>
    </row>
    <row r="8">
      <c r="A8" t="n">
        <v>6</v>
      </c>
      <c r="B8" t="n">
        <v>-1</v>
      </c>
    </row>
    <row r="9">
      <c r="A9" t="n">
        <v>7</v>
      </c>
      <c r="B9" t="n">
        <v>-1</v>
      </c>
    </row>
    <row r="10">
      <c r="A10" t="n">
        <v>8</v>
      </c>
      <c r="B10" t="n">
        <v>-1</v>
      </c>
    </row>
    <row r="11">
      <c r="A11" t="n">
        <v>9</v>
      </c>
      <c r="B11" t="n">
        <v>-1</v>
      </c>
    </row>
    <row r="12">
      <c r="A12" t="n">
        <v>10</v>
      </c>
      <c r="B12" t="n">
        <v>-2</v>
      </c>
    </row>
    <row r="13">
      <c r="A13" t="n">
        <v>11</v>
      </c>
      <c r="B13" t="n">
        <v>-2</v>
      </c>
    </row>
    <row r="14">
      <c r="A14" t="n">
        <v>12</v>
      </c>
      <c r="B14" t="n">
        <v>-2</v>
      </c>
    </row>
    <row r="15">
      <c r="A15" t="n">
        <v>13</v>
      </c>
      <c r="B15" t="n">
        <v>-2</v>
      </c>
    </row>
    <row r="16">
      <c r="A16" t="n">
        <v>14</v>
      </c>
      <c r="B16" t="n">
        <v>-2</v>
      </c>
    </row>
    <row r="17">
      <c r="A17" t="n">
        <v>15</v>
      </c>
      <c r="B17" t="n">
        <v>-3</v>
      </c>
    </row>
    <row r="18">
      <c r="A18" t="n">
        <v>16</v>
      </c>
      <c r="B18" t="n">
        <v>-3</v>
      </c>
    </row>
    <row r="19">
      <c r="A19" t="n">
        <v>17</v>
      </c>
      <c r="B19" t="n">
        <v>-3</v>
      </c>
    </row>
    <row r="20">
      <c r="A20" t="n">
        <v>18</v>
      </c>
      <c r="B20" t="n">
        <v>-3</v>
      </c>
    </row>
    <row r="21">
      <c r="A21" t="n">
        <v>19</v>
      </c>
      <c r="B21" t="n">
        <v>-3</v>
      </c>
    </row>
    <row r="22">
      <c r="A22" t="n">
        <v>20</v>
      </c>
      <c r="B22" t="n">
        <v>-4</v>
      </c>
    </row>
    <row r="23">
      <c r="A23" t="n">
        <v>21</v>
      </c>
      <c r="B23" t="n">
        <v>-4</v>
      </c>
    </row>
    <row r="24">
      <c r="A24" t="n">
        <v>22</v>
      </c>
      <c r="B24" t="n">
        <v>-4</v>
      </c>
    </row>
    <row r="25">
      <c r="A25" t="n">
        <v>23</v>
      </c>
      <c r="B25" t="n">
        <v>-4</v>
      </c>
    </row>
    <row r="26">
      <c r="A26" t="n">
        <v>24</v>
      </c>
      <c r="B26" t="n">
        <v>-4</v>
      </c>
    </row>
    <row r="27">
      <c r="A27" t="n">
        <v>25</v>
      </c>
      <c r="B27" t="n">
        <v>-5</v>
      </c>
    </row>
    <row r="28">
      <c r="A28" t="n">
        <v>26</v>
      </c>
      <c r="B28" t="n">
        <v>-5</v>
      </c>
    </row>
    <row r="29">
      <c r="A29" t="n">
        <v>27</v>
      </c>
      <c r="B29" t="n">
        <v>-5</v>
      </c>
    </row>
    <row r="30">
      <c r="A30" t="n">
        <v>28</v>
      </c>
      <c r="B30" t="n">
        <v>-5</v>
      </c>
    </row>
    <row r="31">
      <c r="A31" t="n">
        <v>29</v>
      </c>
      <c r="B31" t="n">
        <v>-5</v>
      </c>
    </row>
    <row r="32">
      <c r="A32" t="n">
        <v>30</v>
      </c>
      <c r="B32" t="n">
        <v>-6</v>
      </c>
    </row>
    <row r="33">
      <c r="A33" t="n">
        <v>31</v>
      </c>
      <c r="B33" t="n">
        <v>-6</v>
      </c>
    </row>
    <row r="34">
      <c r="A34" t="n">
        <v>32</v>
      </c>
      <c r="B34" t="n">
        <v>-6</v>
      </c>
    </row>
    <row r="35">
      <c r="A35" t="n">
        <v>33</v>
      </c>
      <c r="B35" t="n">
        <v>-6</v>
      </c>
    </row>
    <row r="36">
      <c r="A36" t="n">
        <v>34</v>
      </c>
      <c r="B36" t="n">
        <v>-6</v>
      </c>
    </row>
    <row r="37">
      <c r="A37" t="n">
        <v>35</v>
      </c>
      <c r="B37" t="n">
        <v>-7</v>
      </c>
    </row>
    <row r="38">
      <c r="A38" t="n">
        <v>36</v>
      </c>
      <c r="B38" t="n">
        <v>-7</v>
      </c>
    </row>
    <row r="39">
      <c r="A39" t="n">
        <v>37</v>
      </c>
      <c r="B39" t="n">
        <v>-7</v>
      </c>
    </row>
    <row r="40">
      <c r="A40" t="n">
        <v>38</v>
      </c>
      <c r="B40" t="n">
        <v>-7</v>
      </c>
    </row>
    <row r="41">
      <c r="A41" t="n">
        <v>39</v>
      </c>
      <c r="B41" t="n">
        <v>-7</v>
      </c>
    </row>
    <row r="42">
      <c r="A42" t="n">
        <v>40</v>
      </c>
      <c r="B42" t="n">
        <v>-8</v>
      </c>
    </row>
    <row r="43">
      <c r="A43" t="n">
        <v>41</v>
      </c>
      <c r="B43" t="n">
        <v>-8</v>
      </c>
    </row>
    <row r="44">
      <c r="A44" t="n">
        <v>42</v>
      </c>
      <c r="B44" t="n">
        <v>-8</v>
      </c>
    </row>
    <row r="45">
      <c r="A45" t="n">
        <v>43</v>
      </c>
      <c r="B45" t="n">
        <v>-8</v>
      </c>
    </row>
    <row r="46">
      <c r="A46" t="n">
        <v>44</v>
      </c>
      <c r="B46" t="n">
        <v>-8</v>
      </c>
    </row>
    <row r="47">
      <c r="A47" t="n">
        <v>45</v>
      </c>
      <c r="B47" t="n">
        <v>-9</v>
      </c>
    </row>
    <row r="48">
      <c r="A48" t="n">
        <v>46</v>
      </c>
      <c r="B48" t="n">
        <v>-9</v>
      </c>
    </row>
    <row r="49">
      <c r="A49" t="n">
        <v>47</v>
      </c>
      <c r="B49" t="n">
        <v>-9</v>
      </c>
    </row>
    <row r="50">
      <c r="A50" t="n">
        <v>48</v>
      </c>
      <c r="B50" t="n">
        <v>-9</v>
      </c>
    </row>
    <row r="51">
      <c r="A51" t="n">
        <v>49</v>
      </c>
      <c r="B51" t="n">
        <v>-9</v>
      </c>
    </row>
    <row r="52">
      <c r="A52" t="n">
        <v>50</v>
      </c>
      <c r="B52" t="n">
        <v>-10</v>
      </c>
    </row>
    <row r="53">
      <c r="A53" t="n">
        <v>51</v>
      </c>
      <c r="B53" t="n">
        <v>-10</v>
      </c>
    </row>
    <row r="54">
      <c r="A54" t="n">
        <v>52</v>
      </c>
      <c r="B54" t="n">
        <v>-10</v>
      </c>
    </row>
    <row r="55">
      <c r="A55" t="n">
        <v>53</v>
      </c>
      <c r="B55" t="n">
        <v>-10</v>
      </c>
    </row>
    <row r="56">
      <c r="A56" t="n">
        <v>54</v>
      </c>
      <c r="B56" t="n">
        <v>-10</v>
      </c>
    </row>
    <row r="57">
      <c r="A57" t="n">
        <v>55</v>
      </c>
      <c r="B57" t="n">
        <v>-11</v>
      </c>
    </row>
    <row r="58">
      <c r="A58" t="n">
        <v>56</v>
      </c>
      <c r="B58" t="n">
        <v>-11</v>
      </c>
    </row>
    <row r="59">
      <c r="A59" t="n">
        <v>57</v>
      </c>
      <c r="B59" t="n">
        <v>-11</v>
      </c>
    </row>
    <row r="60">
      <c r="A60" t="n">
        <v>58</v>
      </c>
      <c r="B60" t="n">
        <v>-11</v>
      </c>
    </row>
    <row r="61">
      <c r="A61" t="n">
        <v>59</v>
      </c>
      <c r="B61" t="n">
        <v>-11</v>
      </c>
    </row>
    <row r="62">
      <c r="A62" t="n">
        <v>60</v>
      </c>
      <c r="B62" t="n">
        <v>-12</v>
      </c>
    </row>
    <row r="63">
      <c r="A63" t="n">
        <v>61</v>
      </c>
      <c r="B63" t="n">
        <v>-12</v>
      </c>
    </row>
    <row r="64">
      <c r="A64" t="n">
        <v>62</v>
      </c>
      <c r="B64" t="n">
        <v>-12</v>
      </c>
    </row>
    <row r="65">
      <c r="A65" t="n">
        <v>63</v>
      </c>
      <c r="B65" t="n">
        <v>-12</v>
      </c>
    </row>
    <row r="66">
      <c r="A66" t="n">
        <v>64</v>
      </c>
      <c r="B66" t="n">
        <v>-12</v>
      </c>
    </row>
    <row r="67">
      <c r="A67" t="n">
        <v>65</v>
      </c>
      <c r="B67" t="n">
        <v>-13</v>
      </c>
    </row>
    <row r="68">
      <c r="A68" t="n">
        <v>66</v>
      </c>
      <c r="B68" t="n">
        <v>-13</v>
      </c>
    </row>
    <row r="69">
      <c r="A69" t="n">
        <v>67</v>
      </c>
      <c r="B69" t="n">
        <v>-13</v>
      </c>
    </row>
    <row r="70">
      <c r="A70" t="n">
        <v>68</v>
      </c>
      <c r="B70" t="n">
        <v>-13</v>
      </c>
    </row>
    <row r="71">
      <c r="A71" t="n">
        <v>69</v>
      </c>
      <c r="B71" t="n">
        <v>-13</v>
      </c>
    </row>
    <row r="72">
      <c r="A72" t="n">
        <v>70</v>
      </c>
      <c r="B72" t="n">
        <v>-14</v>
      </c>
    </row>
    <row r="73">
      <c r="A73" t="n">
        <v>71</v>
      </c>
      <c r="B73" t="n">
        <v>-14</v>
      </c>
    </row>
    <row r="74">
      <c r="A74" t="n">
        <v>72</v>
      </c>
      <c r="B74" t="n">
        <v>-14</v>
      </c>
    </row>
    <row r="75">
      <c r="A75" t="n">
        <v>73</v>
      </c>
      <c r="B75" t="n">
        <v>-14</v>
      </c>
    </row>
    <row r="76">
      <c r="A76" t="n">
        <v>74</v>
      </c>
      <c r="B76" t="n">
        <v>-14</v>
      </c>
    </row>
    <row r="77">
      <c r="A77" t="n">
        <v>75</v>
      </c>
      <c r="B77" t="n">
        <v>-15</v>
      </c>
    </row>
    <row r="78">
      <c r="A78" t="n">
        <v>76</v>
      </c>
      <c r="B78" t="n">
        <v>-15</v>
      </c>
    </row>
    <row r="79">
      <c r="A79" t="n">
        <v>77</v>
      </c>
      <c r="B79" t="n">
        <v>-15</v>
      </c>
    </row>
    <row r="80">
      <c r="A80" t="n">
        <v>78</v>
      </c>
      <c r="B80" t="n">
        <v>-15</v>
      </c>
    </row>
    <row r="81">
      <c r="A81" t="n">
        <v>79</v>
      </c>
      <c r="B81" t="n">
        <v>-15</v>
      </c>
    </row>
    <row r="82">
      <c r="A82" t="n">
        <v>80</v>
      </c>
      <c r="B82" t="n">
        <v>-15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A/D Value</t>
        </is>
      </c>
      <c r="B1" s="3" t="inlineStr">
        <is>
          <t>2A, S Adjustment</t>
        </is>
      </c>
    </row>
    <row r="2">
      <c r="A2" t="n">
        <v>0</v>
      </c>
      <c r="B2" t="n">
        <v>-1</v>
      </c>
    </row>
    <row r="3">
      <c r="A3" t="n">
        <v>1</v>
      </c>
      <c r="B3" t="n">
        <v>-1</v>
      </c>
    </row>
    <row r="4">
      <c r="A4" t="n">
        <v>2</v>
      </c>
      <c r="B4" t="n">
        <v>-1</v>
      </c>
    </row>
    <row r="5">
      <c r="A5" t="n">
        <v>3</v>
      </c>
      <c r="B5" t="n">
        <v>-1</v>
      </c>
    </row>
    <row r="6">
      <c r="A6" t="n">
        <v>4</v>
      </c>
      <c r="B6" t="n">
        <v>-1</v>
      </c>
    </row>
    <row r="7">
      <c r="A7" t="n">
        <v>5</v>
      </c>
      <c r="B7" t="n">
        <v>-1</v>
      </c>
    </row>
    <row r="8">
      <c r="A8" t="n">
        <v>6</v>
      </c>
      <c r="B8" t="n">
        <v>-1</v>
      </c>
    </row>
    <row r="9">
      <c r="A9" t="n">
        <v>7</v>
      </c>
      <c r="B9" t="n">
        <v>-1</v>
      </c>
    </row>
    <row r="10">
      <c r="A10" t="n">
        <v>8</v>
      </c>
      <c r="B10" t="n">
        <v>-2</v>
      </c>
    </row>
    <row r="11">
      <c r="A11" t="n">
        <v>9</v>
      </c>
      <c r="B11" t="n">
        <v>-2</v>
      </c>
    </row>
    <row r="12">
      <c r="A12" t="n">
        <v>10</v>
      </c>
      <c r="B12" t="n">
        <v>-2</v>
      </c>
    </row>
    <row r="13">
      <c r="A13" t="n">
        <v>11</v>
      </c>
      <c r="B13" t="n">
        <v>-2</v>
      </c>
    </row>
    <row r="14">
      <c r="A14" t="n">
        <v>12</v>
      </c>
      <c r="B14" t="n">
        <v>-2</v>
      </c>
    </row>
    <row r="15">
      <c r="A15" t="n">
        <v>13</v>
      </c>
      <c r="B15" t="n">
        <v>-2</v>
      </c>
    </row>
    <row r="16">
      <c r="A16" t="n">
        <v>14</v>
      </c>
      <c r="B16" t="n">
        <v>-2</v>
      </c>
    </row>
    <row r="17">
      <c r="A17" t="n">
        <v>15</v>
      </c>
      <c r="B17" t="n">
        <v>-2</v>
      </c>
    </row>
    <row r="18">
      <c r="A18" t="n">
        <v>16</v>
      </c>
      <c r="B18" t="n">
        <v>-3</v>
      </c>
    </row>
    <row r="19">
      <c r="A19" t="n">
        <v>17</v>
      </c>
      <c r="B19" t="n">
        <v>-3</v>
      </c>
    </row>
    <row r="20">
      <c r="A20" t="n">
        <v>18</v>
      </c>
      <c r="B20" t="n">
        <v>-3</v>
      </c>
    </row>
    <row r="21">
      <c r="A21" t="n">
        <v>19</v>
      </c>
      <c r="B21" t="n">
        <v>-3</v>
      </c>
    </row>
    <row r="22">
      <c r="A22" t="n">
        <v>20</v>
      </c>
      <c r="B22" t="n">
        <v>-3</v>
      </c>
    </row>
    <row r="23">
      <c r="A23" t="n">
        <v>21</v>
      </c>
      <c r="B23" t="n">
        <v>-3</v>
      </c>
    </row>
    <row r="24">
      <c r="A24" t="n">
        <v>22</v>
      </c>
      <c r="B24" t="n">
        <v>-3</v>
      </c>
    </row>
    <row r="25">
      <c r="A25" t="n">
        <v>23</v>
      </c>
      <c r="B25" t="n">
        <v>-3</v>
      </c>
    </row>
    <row r="26">
      <c r="A26" t="n">
        <v>24</v>
      </c>
      <c r="B26" t="n">
        <v>-4</v>
      </c>
    </row>
    <row r="27">
      <c r="A27" t="n">
        <v>25</v>
      </c>
      <c r="B27" t="n">
        <v>-4</v>
      </c>
    </row>
    <row r="28">
      <c r="A28" t="n">
        <v>26</v>
      </c>
      <c r="B28" t="n">
        <v>-4</v>
      </c>
    </row>
    <row r="29">
      <c r="A29" t="n">
        <v>27</v>
      </c>
      <c r="B29" t="n">
        <v>-4</v>
      </c>
    </row>
    <row r="30">
      <c r="A30" t="n">
        <v>28</v>
      </c>
      <c r="B30" t="n">
        <v>-4</v>
      </c>
    </row>
    <row r="31">
      <c r="A31" t="n">
        <v>29</v>
      </c>
      <c r="B31" t="n">
        <v>-4</v>
      </c>
    </row>
    <row r="32">
      <c r="A32" t="n">
        <v>30</v>
      </c>
      <c r="B32" t="n">
        <v>-4</v>
      </c>
    </row>
    <row r="33">
      <c r="A33" t="n">
        <v>31</v>
      </c>
      <c r="B33" t="n">
        <v>-4</v>
      </c>
    </row>
    <row r="34">
      <c r="A34" t="n">
        <v>32</v>
      </c>
      <c r="B34" t="n">
        <v>-5</v>
      </c>
    </row>
    <row r="35">
      <c r="A35" t="n">
        <v>33</v>
      </c>
      <c r="B35" t="n">
        <v>-5</v>
      </c>
    </row>
    <row r="36">
      <c r="A36" t="n">
        <v>34</v>
      </c>
      <c r="B36" t="n">
        <v>-5</v>
      </c>
    </row>
    <row r="37">
      <c r="A37" t="n">
        <v>35</v>
      </c>
      <c r="B37" t="n">
        <v>-5</v>
      </c>
    </row>
    <row r="38">
      <c r="A38" t="n">
        <v>36</v>
      </c>
      <c r="B38" t="n">
        <v>-5</v>
      </c>
    </row>
    <row r="39">
      <c r="A39" t="n">
        <v>37</v>
      </c>
      <c r="B39" t="n">
        <v>-5</v>
      </c>
    </row>
    <row r="40">
      <c r="A40" t="n">
        <v>38</v>
      </c>
      <c r="B40" t="n">
        <v>-5</v>
      </c>
    </row>
    <row r="41">
      <c r="A41" t="n">
        <v>39</v>
      </c>
      <c r="B41" t="n">
        <v>-5</v>
      </c>
    </row>
    <row r="42">
      <c r="A42" t="n">
        <v>40</v>
      </c>
      <c r="B42" t="n">
        <v>-6</v>
      </c>
    </row>
    <row r="43">
      <c r="A43" t="n">
        <v>41</v>
      </c>
      <c r="B43" t="n">
        <v>-6</v>
      </c>
    </row>
    <row r="44">
      <c r="A44" t="n">
        <v>42</v>
      </c>
      <c r="B44" t="n">
        <v>-6</v>
      </c>
    </row>
    <row r="45">
      <c r="A45" t="n">
        <v>43</v>
      </c>
      <c r="B45" t="n">
        <v>-6</v>
      </c>
    </row>
    <row r="46">
      <c r="A46" t="n">
        <v>44</v>
      </c>
      <c r="B46" t="n">
        <v>-6</v>
      </c>
    </row>
    <row r="47">
      <c r="A47" t="n">
        <v>45</v>
      </c>
      <c r="B47" t="n">
        <v>-6</v>
      </c>
    </row>
    <row r="48">
      <c r="A48" t="n">
        <v>46</v>
      </c>
      <c r="B48" t="n">
        <v>-6</v>
      </c>
    </row>
    <row r="49">
      <c r="A49" t="n">
        <v>47</v>
      </c>
      <c r="B49" t="n">
        <v>-6</v>
      </c>
    </row>
    <row r="50">
      <c r="A50" t="n">
        <v>48</v>
      </c>
      <c r="B50" t="n">
        <v>-7</v>
      </c>
    </row>
    <row r="51">
      <c r="A51" t="n">
        <v>49</v>
      </c>
      <c r="B51" t="n">
        <v>-7</v>
      </c>
    </row>
    <row r="52">
      <c r="A52" t="n">
        <v>50</v>
      </c>
      <c r="B52" t="n">
        <v>-7</v>
      </c>
    </row>
    <row r="53">
      <c r="A53" t="n">
        <v>51</v>
      </c>
      <c r="B53" t="n">
        <v>-7</v>
      </c>
    </row>
    <row r="54">
      <c r="A54" t="n">
        <v>52</v>
      </c>
      <c r="B54" t="n">
        <v>-7</v>
      </c>
    </row>
    <row r="55">
      <c r="A55" t="n">
        <v>53</v>
      </c>
      <c r="B55" t="n">
        <v>-7</v>
      </c>
    </row>
    <row r="56">
      <c r="A56" t="n">
        <v>54</v>
      </c>
      <c r="B56" t="n">
        <v>-7</v>
      </c>
    </row>
    <row r="57">
      <c r="A57" t="n">
        <v>55</v>
      </c>
      <c r="B57" t="n">
        <v>-7</v>
      </c>
    </row>
    <row r="58">
      <c r="A58" t="n">
        <v>56</v>
      </c>
      <c r="B58" t="n">
        <v>-8</v>
      </c>
    </row>
    <row r="59">
      <c r="A59" t="n">
        <v>57</v>
      </c>
      <c r="B59" t="n">
        <v>-8</v>
      </c>
    </row>
    <row r="60">
      <c r="A60" t="n">
        <v>58</v>
      </c>
      <c r="B60" t="n">
        <v>-8</v>
      </c>
    </row>
    <row r="61">
      <c r="A61" t="n">
        <v>59</v>
      </c>
      <c r="B61" t="n">
        <v>-8</v>
      </c>
    </row>
    <row r="62">
      <c r="A62" t="n">
        <v>60</v>
      </c>
      <c r="B62" t="n">
        <v>-8</v>
      </c>
    </row>
    <row r="63">
      <c r="A63" t="n">
        <v>61</v>
      </c>
      <c r="B63" t="n">
        <v>-8</v>
      </c>
    </row>
    <row r="64">
      <c r="A64" t="n">
        <v>62</v>
      </c>
      <c r="B64" t="n">
        <v>-8</v>
      </c>
    </row>
    <row r="65">
      <c r="A65" t="n">
        <v>63</v>
      </c>
      <c r="B65" t="n">
        <v>-8</v>
      </c>
    </row>
    <row r="66">
      <c r="A66" t="n">
        <v>64</v>
      </c>
      <c r="B66" t="n">
        <v>-9</v>
      </c>
    </row>
    <row r="67">
      <c r="A67" t="n">
        <v>65</v>
      </c>
      <c r="B67" t="n">
        <v>-9</v>
      </c>
    </row>
    <row r="68">
      <c r="A68" t="n">
        <v>66</v>
      </c>
      <c r="B68" t="n">
        <v>-9</v>
      </c>
    </row>
    <row r="69">
      <c r="A69" t="n">
        <v>67</v>
      </c>
      <c r="B69" t="n">
        <v>-9</v>
      </c>
    </row>
    <row r="70">
      <c r="A70" t="n">
        <v>68</v>
      </c>
      <c r="B70" t="n">
        <v>-9</v>
      </c>
    </row>
    <row r="71">
      <c r="A71" t="n">
        <v>69</v>
      </c>
      <c r="B71" t="n">
        <v>-9</v>
      </c>
    </row>
    <row r="72">
      <c r="A72" t="n">
        <v>70</v>
      </c>
      <c r="B72" t="n">
        <v>-9</v>
      </c>
    </row>
    <row r="73">
      <c r="A73" t="n">
        <v>71</v>
      </c>
      <c r="B73" t="n">
        <v>-9</v>
      </c>
    </row>
    <row r="74">
      <c r="A74" t="n">
        <v>72</v>
      </c>
      <c r="B74" t="n">
        <v>-10</v>
      </c>
    </row>
    <row r="75">
      <c r="A75" t="n">
        <v>73</v>
      </c>
      <c r="B75" t="n">
        <v>-10</v>
      </c>
    </row>
    <row r="76">
      <c r="A76" t="n">
        <v>74</v>
      </c>
      <c r="B76" t="n">
        <v>-10</v>
      </c>
    </row>
    <row r="77">
      <c r="A77" t="n">
        <v>75</v>
      </c>
      <c r="B77" t="n">
        <v>-10</v>
      </c>
    </row>
    <row r="78">
      <c r="A78" t="n">
        <v>76</v>
      </c>
      <c r="B78" t="n">
        <v>-10</v>
      </c>
    </row>
    <row r="79">
      <c r="A79" t="n">
        <v>77</v>
      </c>
      <c r="B79" t="n">
        <v>-10</v>
      </c>
    </row>
    <row r="80">
      <c r="A80" t="n">
        <v>78</v>
      </c>
      <c r="B80" t="n">
        <v>-10</v>
      </c>
    </row>
    <row r="81">
      <c r="A81" t="n">
        <v>79</v>
      </c>
      <c r="B81" t="n">
        <v>-10</v>
      </c>
    </row>
    <row r="82">
      <c r="A82" t="n">
        <v>80</v>
      </c>
      <c r="B82" t="n">
        <v>-10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2" t="inlineStr">
        <is>
          <t>MCMI-III SCORING INSTRUCTIONS</t>
        </is>
      </c>
    </row>
    <row r="3">
      <c r="A3" s="6" t="inlineStr"/>
    </row>
    <row r="4">
      <c r="A4" s="3" t="inlineStr">
        <is>
          <t>HOW TO USE THIS SCORING WORKSHEET:</t>
        </is>
      </c>
    </row>
    <row r="5">
      <c r="A5" s="6" t="inlineStr"/>
    </row>
    <row r="6">
      <c r="A6" s="3" t="inlineStr">
        <is>
          <t>STEP 1: VALIDITY CHECKS</t>
        </is>
      </c>
    </row>
    <row r="7">
      <c r="A7" s="6" t="inlineStr">
        <is>
          <t xml:space="preserve">  • Enter the V (Invalidity) score in cell D8 (count items 65, 110, 157 answered True)</t>
        </is>
      </c>
    </row>
    <row r="8">
      <c r="A8" s="6" t="inlineStr">
        <is>
          <t xml:space="preserve">  • Enter number of omitted/double-marked responses in D9</t>
        </is>
      </c>
    </row>
    <row r="9">
      <c r="A9" s="6" t="inlineStr">
        <is>
          <t xml:space="preserve">  • If V &gt; 1 or omits &gt; 11, the test is INVALID</t>
        </is>
      </c>
    </row>
    <row r="10">
      <c r="A10" s="6" t="inlineStr"/>
    </row>
    <row r="11">
      <c r="A11" s="3" t="inlineStr">
        <is>
          <t>STEP 2: CLIENT SETTING</t>
        </is>
      </c>
    </row>
    <row r="12">
      <c r="A12" s="6" t="inlineStr">
        <is>
          <t xml:space="preserve">  • Enter Y or N for inpatient status in D13</t>
        </is>
      </c>
    </row>
    <row r="13">
      <c r="A13" s="6" t="inlineStr">
        <is>
          <t xml:space="preserve">  • Enter Axis I duration in weeks in D14</t>
        </is>
      </c>
    </row>
    <row r="14">
      <c r="A14" s="6" t="inlineStr"/>
    </row>
    <row r="15">
      <c r="A15" s="3" t="inlineStr">
        <is>
          <t>STEP 3: RAW SCORES (Column D in scoring table)</t>
        </is>
      </c>
    </row>
    <row r="16">
      <c r="A16" s="6" t="inlineStr">
        <is>
          <t xml:space="preserve">  • Use the plastic overlay scoring keys on the answer sheet</t>
        </is>
      </c>
    </row>
    <row r="17">
      <c r="A17" s="6" t="inlineStr">
        <is>
          <t xml:space="preserve">  • Count the marked responses visible through each key</t>
        </is>
      </c>
    </row>
    <row r="18">
      <c r="A18" s="6" t="inlineStr">
        <is>
          <t xml:space="preserve">  • For Scale 5 (Narcissistic): multiply raw score by 2/3</t>
        </is>
      </c>
    </row>
    <row r="19">
      <c r="A19" s="6" t="inlineStr">
        <is>
          <t xml:space="preserve">  • Enter each raw score in Column D (yellow cells)</t>
        </is>
      </c>
    </row>
    <row r="20">
      <c r="A20" s="6" t="inlineStr"/>
    </row>
    <row r="21">
      <c r="A21" s="3" t="inlineStr">
        <is>
          <t>STEP 4: INITIAL BR SCORES (Column E)</t>
        </is>
      </c>
    </row>
    <row r="22">
      <c r="A22" s="6" t="inlineStr">
        <is>
          <t xml:space="preserve">  • Open the MCMI-III Manual to Appendix C-1 and C-2</t>
        </is>
      </c>
    </row>
    <row r="23">
      <c r="A23" s="6" t="inlineStr">
        <is>
          <t xml:space="preserve">  • Look up each scale raw score → find the corresponding BR score</t>
        </is>
      </c>
    </row>
    <row r="24">
      <c r="A24" s="6" t="inlineStr">
        <is>
          <t xml:space="preserve">  • Enter each BR score in Column E (yellow cells)</t>
        </is>
      </c>
    </row>
    <row r="25">
      <c r="A25" s="6" t="inlineStr">
        <is>
          <t xml:space="preserve">  • The spreadsheet will automatically calculate all adjustments</t>
        </is>
      </c>
    </row>
    <row r="26">
      <c r="A26" s="6" t="inlineStr"/>
    </row>
    <row r="27">
      <c r="A27" s="3" t="inlineStr">
        <is>
          <t>STEP 5: ADJUSTMENTS (Auto-calculated)</t>
        </is>
      </c>
    </row>
    <row r="28">
      <c r="A28" s="6" t="inlineStr">
        <is>
          <t xml:space="preserve">  • Column F: Disclosure Adjustment (based on Scale X raw score)</t>
        </is>
      </c>
    </row>
    <row r="29">
      <c r="A29" s="6" t="inlineStr">
        <is>
          <t xml:space="preserve">  • Column G: Anxiety/Depression Adjustment (based on Scales A &amp; D)</t>
        </is>
      </c>
    </row>
    <row r="30">
      <c r="A30" s="6" t="inlineStr">
        <is>
          <t xml:space="preserve">  • Column H: Inpatient Adjustment (based on setting info)</t>
        </is>
      </c>
    </row>
    <row r="31">
      <c r="A31" s="6" t="inlineStr">
        <is>
          <t xml:space="preserve">  • Column I: Denial/Complaint Adjustment (enter manually if applicable: 8 or 0)</t>
        </is>
      </c>
    </row>
    <row r="32">
      <c r="A32" s="6" t="inlineStr"/>
    </row>
    <row r="33">
      <c r="A33" s="3" t="inlineStr">
        <is>
          <t>STEP 6: READ FINAL BR SCORES (Column J)</t>
        </is>
      </c>
    </row>
    <row r="34">
      <c r="A34" s="6" t="inlineStr">
        <is>
          <t xml:space="preserve">  • Automatically calculated = Initial BR + all adjustments</t>
        </is>
      </c>
    </row>
    <row r="35">
      <c r="A35" s="6" t="inlineStr">
        <is>
          <t xml:space="preserve">  • Clamped between 0 and 115</t>
        </is>
      </c>
    </row>
    <row r="36">
      <c r="A36" s="6" t="inlineStr">
        <is>
          <t xml:space="preserve">  • BR ≥ 85: Pathological / Disorder present (RED)</t>
        </is>
      </c>
    </row>
    <row r="37">
      <c r="A37" s="6" t="inlineStr">
        <is>
          <t xml:space="preserve">  • BR 75-84: Trait level / Syndrome present (YELLOW)</t>
        </is>
      </c>
    </row>
    <row r="38">
      <c r="A38" s="6" t="inlineStr">
        <is>
          <t xml:space="preserve">  • BR 60-74: Suggestive features</t>
        </is>
      </c>
    </row>
    <row r="39">
      <c r="A39" s="6" t="inlineStr">
        <is>
          <t xml:space="preserve">  • BR &lt; 60: Normal / Not significant</t>
        </is>
      </c>
    </row>
    <row r="40">
      <c r="A40" s="6" t="inlineStr"/>
    </row>
    <row r="41">
      <c r="A41" s="3" t="inlineStr">
        <is>
          <t>STEP 7: DENIAL/COMPLAINT ADJUSTMENT (Manual step)</t>
        </is>
      </c>
    </row>
    <row r="42">
      <c r="A42" s="6" t="inlineStr">
        <is>
          <t xml:space="preserve">  • Find the highest ranked Clinical Personality scale (1-8B) based on current adjusted BR</t>
        </is>
      </c>
    </row>
    <row r="43">
      <c r="A43" s="6" t="inlineStr">
        <is>
          <t xml:space="preserve">  • If the highest is Scale 4, 5, or 7: enter 8 in Column I for that scale</t>
        </is>
      </c>
    </row>
    <row r="44">
      <c r="A44" s="6" t="inlineStr">
        <is>
          <t xml:space="preserve">  • If highest is any other scale: enter 0 (no adjustment needed)</t>
        </is>
      </c>
    </row>
    <row r="45">
      <c r="A45" s="6" t="inlineStr"/>
    </row>
    <row r="46">
      <c r="A46" s="3" t="inlineStr">
        <is>
          <t>NOTE: Scale X raw score must be between 34-178 for valid scoring.</t>
        </is>
      </c>
    </row>
    <row r="47">
      <c r="A47" s="6" t="inlineStr">
        <is>
          <t>If &lt; 34 or &gt; 178, the test is INVALID.</t>
        </is>
      </c>
    </row>
    <row r="48">
      <c r="A48" s="6" t="inlineStr"/>
    </row>
    <row r="49">
      <c r="A49" s="3" t="inlineStr">
        <is>
          <t>TABLE REFERENCE:</t>
        </is>
      </c>
    </row>
    <row r="50">
      <c r="A50" s="6" t="inlineStr">
        <is>
          <t xml:space="preserve">  • Table 1 (Disclosure): See "Disclosure_Table" sheet</t>
        </is>
      </c>
    </row>
    <row r="51">
      <c r="A51" s="6" t="inlineStr">
        <is>
          <t xml:space="preserve">  • Tables 2-4 (A/D): See "AD_2B8BC" and "AD_2AS" sheets</t>
        </is>
      </c>
    </row>
    <row r="52">
      <c r="A52" s="6" t="inlineStr">
        <is>
          <t xml:space="preserve">  • Table 5 (Inpatient): Auto-calculated from client setting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5" customWidth="1" min="3" max="3"/>
    <col width="25" customWidth="1" min="4" max="4"/>
  </cols>
  <sheetData>
    <row r="1">
      <c r="A1" s="22" t="inlineStr">
        <is>
          <t>MCMI-III BR SCORE INTERPRETATION GUIDE</t>
        </is>
      </c>
    </row>
    <row r="3">
      <c r="A3" s="23" t="inlineStr">
        <is>
          <t>BR Score Range</t>
        </is>
      </c>
      <c r="B3" s="23" t="inlineStr">
        <is>
          <t>Classification</t>
        </is>
      </c>
      <c r="C3" s="23" t="inlineStr">
        <is>
          <t>Clinical Meaning</t>
        </is>
      </c>
      <c r="D3" s="23" t="inlineStr">
        <is>
          <t>Action</t>
        </is>
      </c>
    </row>
    <row r="4">
      <c r="A4" s="20" t="inlineStr">
        <is>
          <t>0-34</t>
        </is>
      </c>
      <c r="B4" s="20" t="inlineStr">
        <is>
          <t>Not Significant</t>
        </is>
      </c>
      <c r="C4" s="20" t="inlineStr">
        <is>
          <t>Trait not present</t>
        </is>
      </c>
      <c r="D4" s="20" t="inlineStr">
        <is>
          <t>No concern</t>
        </is>
      </c>
    </row>
    <row r="5">
      <c r="A5" s="20" t="inlineStr">
        <is>
          <t>35-59</t>
        </is>
      </c>
      <c r="B5" s="20" t="inlineStr">
        <is>
          <t>Normal Range</t>
        </is>
      </c>
      <c r="C5" s="20" t="inlineStr">
        <is>
          <t>Within normal limits</t>
        </is>
      </c>
      <c r="D5" s="20" t="inlineStr">
        <is>
          <t>No concern</t>
        </is>
      </c>
    </row>
    <row r="6">
      <c r="A6" s="20" t="inlineStr">
        <is>
          <t>60-74</t>
        </is>
      </c>
      <c r="B6" s="20" t="inlineStr">
        <is>
          <t>Suggestive</t>
        </is>
      </c>
      <c r="C6" s="20" t="inlineStr">
        <is>
          <t>Mild features; subclinical</t>
        </is>
      </c>
      <c r="D6" s="20" t="inlineStr">
        <is>
          <t>Monitor</t>
        </is>
      </c>
    </row>
    <row r="7">
      <c r="A7" s="20" t="inlineStr">
        <is>
          <t>75-84</t>
        </is>
      </c>
      <c r="B7" s="20" t="inlineStr">
        <is>
          <t>Trait Level / Present</t>
        </is>
      </c>
      <c r="C7" s="20" t="inlineStr">
        <is>
          <t>Clinically significant features</t>
        </is>
      </c>
      <c r="D7" s="20" t="inlineStr">
        <is>
          <t>Include in report</t>
        </is>
      </c>
    </row>
    <row r="8">
      <c r="A8" s="20" t="inlineStr">
        <is>
          <t>85-115</t>
        </is>
      </c>
      <c r="B8" s="20" t="inlineStr">
        <is>
          <t>Pathological / Disorder</t>
        </is>
      </c>
      <c r="C8" s="20" t="inlineStr">
        <is>
          <t>Prominent disorder present</t>
        </is>
      </c>
      <c r="D8" s="20" t="inlineStr">
        <is>
          <t>Primary focus in report</t>
        </is>
      </c>
    </row>
    <row r="11">
      <c r="A11" s="5" t="inlineStr">
        <is>
          <t>VALIDITY CRITERIA</t>
        </is>
      </c>
    </row>
    <row r="12">
      <c r="A12" s="6" t="inlineStr">
        <is>
          <t>Scale V (Invalidity): &gt; 1 = INVALID protocol</t>
        </is>
      </c>
    </row>
    <row r="13">
      <c r="A13" s="6" t="inlineStr">
        <is>
          <t>Scale X (Disclosure): Raw &lt; 34 or &gt; 178 = INVALID</t>
        </is>
      </c>
    </row>
    <row r="14">
      <c r="A14" s="6" t="inlineStr">
        <is>
          <t>Omissions: &gt; 11 items omitted = INVALID</t>
        </is>
      </c>
    </row>
    <row r="15">
      <c r="A15" s="6" t="inlineStr"/>
    </row>
    <row r="16">
      <c r="A16" s="6" t="inlineStr">
        <is>
          <t>Scale X interpretation:</t>
        </is>
      </c>
    </row>
    <row r="17">
      <c r="A17" s="6" t="inlineStr">
        <is>
          <t xml:space="preserve">  Low X (&lt; 35): Guarded, minimal disclosure, possible defensiveness</t>
        </is>
      </c>
    </row>
    <row r="18">
      <c r="A18" s="6" t="inlineStr">
        <is>
          <t xml:space="preserve">  Normal X (61-123): Adequate disclosure</t>
        </is>
      </c>
    </row>
    <row r="19">
      <c r="A19" s="6" t="inlineStr">
        <is>
          <t xml:space="preserve">  High X (&gt; 145): Excessive disclosure, possible cry for help</t>
        </is>
      </c>
    </row>
    <row r="20">
      <c r="A20" s="6" t="inlineStr"/>
    </row>
    <row r="21">
      <c r="A21" s="6" t="inlineStr">
        <is>
          <t>Scale Y (Desirability): High (&gt;75) = Trying to appear favorable ("faking good")</t>
        </is>
      </c>
    </row>
    <row r="22">
      <c r="A22" s="6" t="inlineStr">
        <is>
          <t>Scale Z (Debasement): High (&gt;75) = Self-deprecation, emphasizing distress ("faking bad")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2026-07-21T11:36:55Z</dcterms:created>
  <dcterms:modified xsi:type="dcterms:W3CDTF">2026-07-21T11:36:55Z</dcterms:modified>
</cp:coreProperties>
</file>