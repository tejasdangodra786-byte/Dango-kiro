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ENTRY" sheetId="1" state="visible" r:id="rId1"/>
    <sheet name="AUTO-SCORING" sheetId="2" state="visible" r:id="rId2"/>
    <sheet name="PROFILE" sheetId="3" state="visible" r:id="rId3"/>
    <sheet name="BR REFERENCE"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4E79"/>
      <sz val="16"/>
    </font>
    <font>
      <i val="1"/>
      <color rgb="00666666"/>
      <sz val="11"/>
    </font>
    <font>
      <b val="1"/>
    </font>
    <font>
      <i val="1"/>
      <color rgb="00666666"/>
      <sz val="9"/>
    </font>
    <font>
      <b val="1"/>
      <color rgb="00FFFFFF"/>
      <sz val="12"/>
    </font>
    <font>
      <b val="1"/>
      <sz val="12"/>
    </font>
    <font>
      <b val="1"/>
      <color rgb="00C00000"/>
      <sz val="13"/>
    </font>
    <font>
      <b val="1"/>
      <color rgb="001F4E79"/>
      <sz val="13"/>
    </font>
    <font>
      <b val="1"/>
      <i val="1"/>
      <color rgb="001F4E79"/>
      <sz val="10"/>
    </font>
    <font>
      <b val="1"/>
      <color rgb="00C00000"/>
      <sz val="11"/>
    </font>
    <font>
      <b val="1"/>
      <color rgb="00C00000"/>
    </font>
    <font>
      <b val="1"/>
      <sz val="14"/>
    </font>
    <font>
      <b val="1"/>
      <color rgb="00FFFFFF"/>
    </font>
    <font>
      <sz val="9"/>
    </font>
  </fonts>
  <fills count="12">
    <fill>
      <patternFill/>
    </fill>
    <fill>
      <patternFill patternType="gray125"/>
    </fill>
    <fill>
      <patternFill patternType="solid">
        <fgColor rgb="00FFEB9C"/>
      </patternFill>
    </fill>
    <fill>
      <patternFill patternType="solid">
        <fgColor rgb="001F4E79"/>
      </patternFill>
    </fill>
    <fill>
      <patternFill patternType="solid">
        <fgColor rgb="00F2F2F2"/>
      </patternFill>
    </fill>
    <fill>
      <patternFill patternType="solid">
        <fgColor rgb="00FFFFFF"/>
      </patternFill>
    </fill>
    <fill>
      <patternFill patternType="solid">
        <fgColor rgb="00C00000"/>
      </patternFill>
    </fill>
    <fill>
      <patternFill patternType="solid">
        <fgColor rgb="00D6E4F0"/>
      </patternFill>
    </fill>
    <fill>
      <patternFill patternType="solid">
        <fgColor rgb="00FF0000"/>
      </patternFill>
    </fill>
    <fill>
      <patternFill patternType="solid">
        <fgColor rgb="00FF8C00"/>
      </patternFill>
    </fill>
    <fill>
      <patternFill patternType="solid">
        <fgColor rgb="00FFFF00"/>
      </patternFill>
    </fill>
    <fill>
      <patternFill patternType="solid">
        <fgColor rgb="00C6EFCE"/>
      </patternFill>
    </fill>
  </fills>
  <borders count="3">
    <border>
      <left/>
      <right/>
      <top/>
      <bottom/>
      <diagonal/>
    </border>
    <border>
      <left style="medium"/>
      <right style="medium"/>
      <top style="medium"/>
      <bottom style="medium"/>
    </border>
    <border>
      <left style="thin"/>
      <right style="thin"/>
      <top style="thin"/>
      <bottom style="thin"/>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0" fillId="2" borderId="1" pivotButton="0" quotePrefix="0" xfId="0"/>
    <xf numFmtId="0" fontId="4" fillId="0" borderId="0" pivotButton="0" quotePrefix="0" xfId="0"/>
    <xf numFmtId="0" fontId="5" fillId="3" borderId="2" applyAlignment="1" pivotButton="0" quotePrefix="0" xfId="0">
      <alignment horizontal="center" vertical="center"/>
    </xf>
    <xf numFmtId="0" fontId="0" fillId="4" borderId="2" applyAlignment="1" pivotButton="0" quotePrefix="0" xfId="0">
      <alignment horizontal="center" vertical="center"/>
    </xf>
    <xf numFmtId="0" fontId="0" fillId="5" borderId="1" applyAlignment="1" pivotButton="0" quotePrefix="0" xfId="0">
      <alignment horizontal="center" vertical="center"/>
    </xf>
    <xf numFmtId="0" fontId="0" fillId="0" borderId="2" applyAlignment="1" pivotButton="0" quotePrefix="0" xfId="0">
      <alignment horizontal="center" vertical="center"/>
    </xf>
    <xf numFmtId="0" fontId="6" fillId="0" borderId="0" pivotButton="0" quotePrefix="0" xfId="0"/>
    <xf numFmtId="0" fontId="4" fillId="0" borderId="0" applyAlignment="1" pivotButton="0" quotePrefix="0" xfId="0">
      <alignment horizontal="center" vertical="center"/>
    </xf>
    <xf numFmtId="0" fontId="7" fillId="0" borderId="0" pivotButton="0" quotePrefix="0" xfId="0"/>
    <xf numFmtId="0" fontId="5" fillId="6" borderId="2" applyAlignment="1" pivotButton="0" quotePrefix="0" xfId="0">
      <alignment horizontal="center" vertical="center"/>
    </xf>
    <xf numFmtId="0" fontId="0" fillId="7" borderId="1" applyAlignment="1" pivotButton="0" quotePrefix="0" xfId="0">
      <alignment horizontal="center" vertical="center"/>
    </xf>
    <xf numFmtId="0" fontId="3" fillId="7" borderId="1" pivotButton="0" quotePrefix="0" xfId="0"/>
    <xf numFmtId="0" fontId="0" fillId="7" borderId="1" pivotButton="0" quotePrefix="0" xfId="0"/>
    <xf numFmtId="0" fontId="6" fillId="7" borderId="1" pivotButton="0" quotePrefix="0" xfId="0"/>
    <xf numFmtId="0" fontId="8" fillId="0" borderId="0" pivotButton="0" quotePrefix="0" xfId="0"/>
    <xf numFmtId="0" fontId="9" fillId="7" borderId="0" pivotButton="0" quotePrefix="0" xfId="0"/>
    <xf numFmtId="0" fontId="3" fillId="0" borderId="2" applyAlignment="1" pivotButton="0" quotePrefix="0" xfId="0">
      <alignment horizontal="center" vertical="center"/>
    </xf>
    <xf numFmtId="0" fontId="0" fillId="0" borderId="2" pivotButton="0" quotePrefix="0" xfId="0"/>
    <xf numFmtId="0" fontId="10" fillId="0" borderId="0" pivotButton="0" quotePrefix="0" xfId="0"/>
    <xf numFmtId="0" fontId="11" fillId="0" borderId="0" pivotButton="0" quotePrefix="0" xfId="0"/>
    <xf numFmtId="0" fontId="12" fillId="0" borderId="0" pivotButton="0" quotePrefix="0" xfId="0"/>
    <xf numFmtId="0" fontId="13" fillId="8" borderId="0" pivotButton="0" quotePrefix="0" xfId="0"/>
    <xf numFmtId="0" fontId="3" fillId="9" borderId="0" pivotButton="0" quotePrefix="0" xfId="0"/>
    <xf numFmtId="0" fontId="0" fillId="10" borderId="0" pivotButton="0" quotePrefix="0" xfId="0"/>
    <xf numFmtId="0" fontId="0" fillId="11" borderId="0" pivotButton="0" quotePrefix="0" xfId="0"/>
    <xf numFmtId="0" fontId="14" fillId="0" borderId="2" pivotButton="0" quotePrefix="0" xfId="0"/>
    <xf numFmtId="0" fontId="1" fillId="0" borderId="0" pivotButton="0" quotePrefix="0" xfId="0"/>
    <xf numFmtId="0" fontId="5" fillId="3" borderId="0" pivotButton="0" quotePrefix="0" xfId="0"/>
    <xf numFmtId="0" fontId="3" fillId="7" borderId="0" pivotButton="0" quotePrefix="0" xfId="0"/>
  </cellXfs>
  <cellStyles count="1">
    <cellStyle name="Normal" xfId="0" builtinId="0" hidden="0"/>
  </cellStyles>
  <dxfs count="4">
    <dxf>
      <font>
        <b val="1"/>
        <color rgb="00FFFFFF"/>
      </font>
      <fill>
        <patternFill patternType="solid">
          <fgColor rgb="00FF0000"/>
        </patternFill>
      </fill>
    </dxf>
    <dxf>
      <font>
        <b val="1"/>
      </font>
      <fill>
        <patternFill patternType="solid">
          <fgColor rgb="00FF8C00"/>
        </patternFill>
      </fill>
    </dxf>
    <dxf>
      <fill>
        <patternFill patternType="solid">
          <fgColor rgb="00FFFF00"/>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2" customWidth="1" min="3" max="3"/>
    <col width="3" customWidth="1" min="4" max="4"/>
    <col width="8" customWidth="1" min="5" max="5"/>
    <col width="22" customWidth="1" min="6" max="6"/>
    <col width="12" customWidth="1" min="7" max="7"/>
  </cols>
  <sheetData>
    <row r="1">
      <c r="A1" s="1" t="inlineStr">
        <is>
          <t>MCMI-III AUTO-SCORING TOOL</t>
        </is>
      </c>
    </row>
    <row r="2">
      <c r="A2" s="2" t="inlineStr">
        <is>
          <t>Enter TRUE or FALSE for each item below. Scoring is AUTOMATIC.</t>
        </is>
      </c>
    </row>
    <row r="3">
      <c r="A3" s="3" t="inlineStr">
        <is>
          <t>Patient Age:</t>
        </is>
      </c>
      <c r="B3" s="4" t="inlineStr"/>
      <c r="C3" s="3" t="inlineStr">
        <is>
          <t>Setting (OPD/IPD):</t>
        </is>
      </c>
      <c r="D3" s="4" t="inlineStr">
        <is>
          <t>OPD</t>
        </is>
      </c>
    </row>
    <row r="4">
      <c r="A4" s="3" t="inlineStr">
        <is>
          <t>Gender (M/F):</t>
        </is>
      </c>
      <c r="B4" s="4" t="inlineStr"/>
      <c r="C4" s="3" t="inlineStr">
        <is>
          <t>Axis I Duration:</t>
        </is>
      </c>
      <c r="D4" s="4" t="inlineStr"/>
      <c r="E4" s="5" t="inlineStr">
        <is>
          <t>(weeks, for IPD only)</t>
        </is>
      </c>
    </row>
    <row r="6">
      <c r="A6" s="6" t="inlineStr">
        <is>
          <t>Item #</t>
        </is>
      </c>
      <c r="B6" s="6" t="inlineStr">
        <is>
          <t>Response (TRUE/FALSE)</t>
        </is>
      </c>
      <c r="C6" s="6" t="inlineStr">
        <is>
          <t>Status</t>
        </is>
      </c>
      <c r="E6" s="6" t="inlineStr">
        <is>
          <t>Item #</t>
        </is>
      </c>
      <c r="F6" s="6" t="inlineStr">
        <is>
          <t>Response (TRUE/FALSE)</t>
        </is>
      </c>
      <c r="G6" s="6" t="inlineStr">
        <is>
          <t>Status</t>
        </is>
      </c>
    </row>
    <row r="7">
      <c r="A7" s="7" t="n">
        <v>1</v>
      </c>
      <c r="B7" s="8" t="n"/>
      <c r="C7" s="9">
        <f>IF(B7="","","✓")</f>
        <v/>
      </c>
      <c r="E7" s="7" t="n">
        <v>89</v>
      </c>
      <c r="F7" s="8" t="n"/>
      <c r="G7" s="9">
        <f>IF(F7="","","✓")</f>
        <v/>
      </c>
    </row>
    <row r="8">
      <c r="A8" s="7" t="n">
        <v>2</v>
      </c>
      <c r="B8" s="8" t="n"/>
      <c r="C8" s="9">
        <f>IF(B8="","","✓")</f>
        <v/>
      </c>
      <c r="E8" s="7" t="n">
        <v>90</v>
      </c>
      <c r="F8" s="8" t="n"/>
      <c r="G8" s="9">
        <f>IF(F8="","","✓")</f>
        <v/>
      </c>
    </row>
    <row r="9">
      <c r="A9" s="7" t="n">
        <v>3</v>
      </c>
      <c r="B9" s="8" t="n"/>
      <c r="C9" s="9">
        <f>IF(B9="","","✓")</f>
        <v/>
      </c>
      <c r="E9" s="7" t="n">
        <v>91</v>
      </c>
      <c r="F9" s="8" t="n"/>
      <c r="G9" s="9">
        <f>IF(F9="","","✓")</f>
        <v/>
      </c>
    </row>
    <row r="10">
      <c r="A10" s="7" t="n">
        <v>4</v>
      </c>
      <c r="B10" s="8" t="n"/>
      <c r="C10" s="9">
        <f>IF(B10="","","✓")</f>
        <v/>
      </c>
      <c r="E10" s="7" t="n">
        <v>92</v>
      </c>
      <c r="F10" s="8" t="n"/>
      <c r="G10" s="9">
        <f>IF(F10="","","✓")</f>
        <v/>
      </c>
    </row>
    <row r="11">
      <c r="A11" s="7" t="n">
        <v>5</v>
      </c>
      <c r="B11" s="8" t="n"/>
      <c r="C11" s="9">
        <f>IF(B11="","","✓")</f>
        <v/>
      </c>
      <c r="E11" s="7" t="n">
        <v>93</v>
      </c>
      <c r="F11" s="8" t="n"/>
      <c r="G11" s="9">
        <f>IF(F11="","","✓")</f>
        <v/>
      </c>
    </row>
    <row r="12">
      <c r="A12" s="7" t="n">
        <v>6</v>
      </c>
      <c r="B12" s="8" t="n"/>
      <c r="C12" s="9">
        <f>IF(B12="","","✓")</f>
        <v/>
      </c>
      <c r="E12" s="7" t="n">
        <v>94</v>
      </c>
      <c r="F12" s="8" t="n"/>
      <c r="G12" s="9">
        <f>IF(F12="","","✓")</f>
        <v/>
      </c>
    </row>
    <row r="13">
      <c r="A13" s="7" t="n">
        <v>7</v>
      </c>
      <c r="B13" s="8" t="n"/>
      <c r="C13" s="9">
        <f>IF(B13="","","✓")</f>
        <v/>
      </c>
      <c r="E13" s="7" t="n">
        <v>95</v>
      </c>
      <c r="F13" s="8" t="n"/>
      <c r="G13" s="9">
        <f>IF(F13="","","✓")</f>
        <v/>
      </c>
    </row>
    <row r="14">
      <c r="A14" s="7" t="n">
        <v>8</v>
      </c>
      <c r="B14" s="8" t="n"/>
      <c r="C14" s="9">
        <f>IF(B14="","","✓")</f>
        <v/>
      </c>
      <c r="E14" s="7" t="n">
        <v>96</v>
      </c>
      <c r="F14" s="8" t="n"/>
      <c r="G14" s="9">
        <f>IF(F14="","","✓")</f>
        <v/>
      </c>
    </row>
    <row r="15">
      <c r="A15" s="7" t="n">
        <v>9</v>
      </c>
      <c r="B15" s="8" t="n"/>
      <c r="C15" s="9">
        <f>IF(B15="","","✓")</f>
        <v/>
      </c>
      <c r="E15" s="7" t="n">
        <v>97</v>
      </c>
      <c r="F15" s="8" t="n"/>
      <c r="G15" s="9">
        <f>IF(F15="","","✓")</f>
        <v/>
      </c>
    </row>
    <row r="16">
      <c r="A16" s="7" t="n">
        <v>10</v>
      </c>
      <c r="B16" s="8" t="n"/>
      <c r="C16" s="9">
        <f>IF(B16="","","✓")</f>
        <v/>
      </c>
      <c r="E16" s="7" t="n">
        <v>98</v>
      </c>
      <c r="F16" s="8" t="n"/>
      <c r="G16" s="9">
        <f>IF(F16="","","✓")</f>
        <v/>
      </c>
    </row>
    <row r="17">
      <c r="A17" s="7" t="n">
        <v>11</v>
      </c>
      <c r="B17" s="8" t="n"/>
      <c r="C17" s="9">
        <f>IF(B17="","","✓")</f>
        <v/>
      </c>
      <c r="E17" s="7" t="n">
        <v>99</v>
      </c>
      <c r="F17" s="8" t="n"/>
      <c r="G17" s="9">
        <f>IF(F17="","","✓")</f>
        <v/>
      </c>
    </row>
    <row r="18">
      <c r="A18" s="7" t="n">
        <v>12</v>
      </c>
      <c r="B18" s="8" t="n"/>
      <c r="C18" s="9">
        <f>IF(B18="","","✓")</f>
        <v/>
      </c>
      <c r="E18" s="7" t="n">
        <v>100</v>
      </c>
      <c r="F18" s="8" t="n"/>
      <c r="G18" s="9">
        <f>IF(F18="","","✓")</f>
        <v/>
      </c>
    </row>
    <row r="19">
      <c r="A19" s="7" t="n">
        <v>13</v>
      </c>
      <c r="B19" s="8" t="n"/>
      <c r="C19" s="9">
        <f>IF(B19="","","✓")</f>
        <v/>
      </c>
      <c r="E19" s="7" t="n">
        <v>101</v>
      </c>
      <c r="F19" s="8" t="n"/>
      <c r="G19" s="9">
        <f>IF(F19="","","✓")</f>
        <v/>
      </c>
    </row>
    <row r="20">
      <c r="A20" s="7" t="n">
        <v>14</v>
      </c>
      <c r="B20" s="8" t="n"/>
      <c r="C20" s="9">
        <f>IF(B20="","","✓")</f>
        <v/>
      </c>
      <c r="E20" s="7" t="n">
        <v>102</v>
      </c>
      <c r="F20" s="8" t="n"/>
      <c r="G20" s="9">
        <f>IF(F20="","","✓")</f>
        <v/>
      </c>
    </row>
    <row r="21">
      <c r="A21" s="7" t="n">
        <v>15</v>
      </c>
      <c r="B21" s="8" t="n"/>
      <c r="C21" s="9">
        <f>IF(B21="","","✓")</f>
        <v/>
      </c>
      <c r="E21" s="7" t="n">
        <v>103</v>
      </c>
      <c r="F21" s="8" t="n"/>
      <c r="G21" s="9">
        <f>IF(F21="","","✓")</f>
        <v/>
      </c>
    </row>
    <row r="22">
      <c r="A22" s="7" t="n">
        <v>16</v>
      </c>
      <c r="B22" s="8" t="n"/>
      <c r="C22" s="9">
        <f>IF(B22="","","✓")</f>
        <v/>
      </c>
      <c r="E22" s="7" t="n">
        <v>104</v>
      </c>
      <c r="F22" s="8" t="n"/>
      <c r="G22" s="9">
        <f>IF(F22="","","✓")</f>
        <v/>
      </c>
    </row>
    <row r="23">
      <c r="A23" s="7" t="n">
        <v>17</v>
      </c>
      <c r="B23" s="8" t="n"/>
      <c r="C23" s="9">
        <f>IF(B23="","","✓")</f>
        <v/>
      </c>
      <c r="E23" s="7" t="n">
        <v>105</v>
      </c>
      <c r="F23" s="8" t="n"/>
      <c r="G23" s="9">
        <f>IF(F23="","","✓")</f>
        <v/>
      </c>
    </row>
    <row r="24">
      <c r="A24" s="7" t="n">
        <v>18</v>
      </c>
      <c r="B24" s="8" t="n"/>
      <c r="C24" s="9">
        <f>IF(B24="","","✓")</f>
        <v/>
      </c>
      <c r="E24" s="7" t="n">
        <v>106</v>
      </c>
      <c r="F24" s="8" t="n"/>
      <c r="G24" s="9">
        <f>IF(F24="","","✓")</f>
        <v/>
      </c>
    </row>
    <row r="25">
      <c r="A25" s="7" t="n">
        <v>19</v>
      </c>
      <c r="B25" s="8" t="n"/>
      <c r="C25" s="9">
        <f>IF(B25="","","✓")</f>
        <v/>
      </c>
      <c r="E25" s="7" t="n">
        <v>107</v>
      </c>
      <c r="F25" s="8" t="n"/>
      <c r="G25" s="9">
        <f>IF(F25="","","✓")</f>
        <v/>
      </c>
    </row>
    <row r="26">
      <c r="A26" s="7" t="n">
        <v>20</v>
      </c>
      <c r="B26" s="8" t="n"/>
      <c r="C26" s="9">
        <f>IF(B26="","","✓")</f>
        <v/>
      </c>
      <c r="E26" s="7" t="n">
        <v>108</v>
      </c>
      <c r="F26" s="8" t="n"/>
      <c r="G26" s="9">
        <f>IF(F26="","","✓")</f>
        <v/>
      </c>
    </row>
    <row r="27">
      <c r="A27" s="7" t="n">
        <v>21</v>
      </c>
      <c r="B27" s="8" t="n"/>
      <c r="C27" s="9">
        <f>IF(B27="","","✓")</f>
        <v/>
      </c>
      <c r="E27" s="7" t="n">
        <v>109</v>
      </c>
      <c r="F27" s="8" t="n"/>
      <c r="G27" s="9">
        <f>IF(F27="","","✓")</f>
        <v/>
      </c>
    </row>
    <row r="28">
      <c r="A28" s="7" t="n">
        <v>22</v>
      </c>
      <c r="B28" s="8" t="n"/>
      <c r="C28" s="9">
        <f>IF(B28="","","✓")</f>
        <v/>
      </c>
      <c r="E28" s="7" t="n">
        <v>110</v>
      </c>
      <c r="F28" s="8" t="n"/>
      <c r="G28" s="9">
        <f>IF(F28="","","✓")</f>
        <v/>
      </c>
    </row>
    <row r="29">
      <c r="A29" s="7" t="n">
        <v>23</v>
      </c>
      <c r="B29" s="8" t="n"/>
      <c r="C29" s="9">
        <f>IF(B29="","","✓")</f>
        <v/>
      </c>
      <c r="E29" s="7" t="n">
        <v>111</v>
      </c>
      <c r="F29" s="8" t="n"/>
      <c r="G29" s="9">
        <f>IF(F29="","","✓")</f>
        <v/>
      </c>
    </row>
    <row r="30">
      <c r="A30" s="7" t="n">
        <v>24</v>
      </c>
      <c r="B30" s="8" t="n"/>
      <c r="C30" s="9">
        <f>IF(B30="","","✓")</f>
        <v/>
      </c>
      <c r="E30" s="7" t="n">
        <v>112</v>
      </c>
      <c r="F30" s="8" t="n"/>
      <c r="G30" s="9">
        <f>IF(F30="","","✓")</f>
        <v/>
      </c>
    </row>
    <row r="31">
      <c r="A31" s="7" t="n">
        <v>25</v>
      </c>
      <c r="B31" s="8" t="n"/>
      <c r="C31" s="9">
        <f>IF(B31="","","✓")</f>
        <v/>
      </c>
      <c r="E31" s="7" t="n">
        <v>113</v>
      </c>
      <c r="F31" s="8" t="n"/>
      <c r="G31" s="9">
        <f>IF(F31="","","✓")</f>
        <v/>
      </c>
    </row>
    <row r="32">
      <c r="A32" s="7" t="n">
        <v>26</v>
      </c>
      <c r="B32" s="8" t="n"/>
      <c r="C32" s="9">
        <f>IF(B32="","","✓")</f>
        <v/>
      </c>
      <c r="E32" s="7" t="n">
        <v>114</v>
      </c>
      <c r="F32" s="8" t="n"/>
      <c r="G32" s="9">
        <f>IF(F32="","","✓")</f>
        <v/>
      </c>
    </row>
    <row r="33">
      <c r="A33" s="7" t="n">
        <v>27</v>
      </c>
      <c r="B33" s="8" t="n"/>
      <c r="C33" s="9">
        <f>IF(B33="","","✓")</f>
        <v/>
      </c>
      <c r="E33" s="7" t="n">
        <v>115</v>
      </c>
      <c r="F33" s="8" t="n"/>
      <c r="G33" s="9">
        <f>IF(F33="","","✓")</f>
        <v/>
      </c>
    </row>
    <row r="34">
      <c r="A34" s="7" t="n">
        <v>28</v>
      </c>
      <c r="B34" s="8" t="n"/>
      <c r="C34" s="9">
        <f>IF(B34="","","✓")</f>
        <v/>
      </c>
      <c r="E34" s="7" t="n">
        <v>116</v>
      </c>
      <c r="F34" s="8" t="n"/>
      <c r="G34" s="9">
        <f>IF(F34="","","✓")</f>
        <v/>
      </c>
    </row>
    <row r="35">
      <c r="A35" s="7" t="n">
        <v>29</v>
      </c>
      <c r="B35" s="8" t="n"/>
      <c r="C35" s="9">
        <f>IF(B35="","","✓")</f>
        <v/>
      </c>
      <c r="E35" s="7" t="n">
        <v>117</v>
      </c>
      <c r="F35" s="8" t="n"/>
      <c r="G35" s="9">
        <f>IF(F35="","","✓")</f>
        <v/>
      </c>
    </row>
    <row r="36">
      <c r="A36" s="7" t="n">
        <v>30</v>
      </c>
      <c r="B36" s="8" t="n"/>
      <c r="C36" s="9">
        <f>IF(B36="","","✓")</f>
        <v/>
      </c>
      <c r="E36" s="7" t="n">
        <v>118</v>
      </c>
      <c r="F36" s="8" t="n"/>
      <c r="G36" s="9">
        <f>IF(F36="","","✓")</f>
        <v/>
      </c>
    </row>
    <row r="37">
      <c r="A37" s="7" t="n">
        <v>31</v>
      </c>
      <c r="B37" s="8" t="n"/>
      <c r="C37" s="9">
        <f>IF(B37="","","✓")</f>
        <v/>
      </c>
      <c r="E37" s="7" t="n">
        <v>119</v>
      </c>
      <c r="F37" s="8" t="n"/>
      <c r="G37" s="9">
        <f>IF(F37="","","✓")</f>
        <v/>
      </c>
    </row>
    <row r="38">
      <c r="A38" s="7" t="n">
        <v>32</v>
      </c>
      <c r="B38" s="8" t="n"/>
      <c r="C38" s="9">
        <f>IF(B38="","","✓")</f>
        <v/>
      </c>
      <c r="E38" s="7" t="n">
        <v>120</v>
      </c>
      <c r="F38" s="8" t="n"/>
      <c r="G38" s="9">
        <f>IF(F38="","","✓")</f>
        <v/>
      </c>
    </row>
    <row r="39">
      <c r="A39" s="7" t="n">
        <v>33</v>
      </c>
      <c r="B39" s="8" t="n"/>
      <c r="C39" s="9">
        <f>IF(B39="","","✓")</f>
        <v/>
      </c>
      <c r="E39" s="7" t="n">
        <v>121</v>
      </c>
      <c r="F39" s="8" t="n"/>
      <c r="G39" s="9">
        <f>IF(F39="","","✓")</f>
        <v/>
      </c>
    </row>
    <row r="40">
      <c r="A40" s="7" t="n">
        <v>34</v>
      </c>
      <c r="B40" s="8" t="n"/>
      <c r="C40" s="9">
        <f>IF(B40="","","✓")</f>
        <v/>
      </c>
      <c r="E40" s="7" t="n">
        <v>122</v>
      </c>
      <c r="F40" s="8" t="n"/>
      <c r="G40" s="9">
        <f>IF(F40="","","✓")</f>
        <v/>
      </c>
    </row>
    <row r="41">
      <c r="A41" s="7" t="n">
        <v>35</v>
      </c>
      <c r="B41" s="8" t="n"/>
      <c r="C41" s="9">
        <f>IF(B41="","","✓")</f>
        <v/>
      </c>
      <c r="E41" s="7" t="n">
        <v>123</v>
      </c>
      <c r="F41" s="8" t="n"/>
      <c r="G41" s="9">
        <f>IF(F41="","","✓")</f>
        <v/>
      </c>
    </row>
    <row r="42">
      <c r="A42" s="7" t="n">
        <v>36</v>
      </c>
      <c r="B42" s="8" t="n"/>
      <c r="C42" s="9">
        <f>IF(B42="","","✓")</f>
        <v/>
      </c>
      <c r="E42" s="7" t="n">
        <v>124</v>
      </c>
      <c r="F42" s="8" t="n"/>
      <c r="G42" s="9">
        <f>IF(F42="","","✓")</f>
        <v/>
      </c>
    </row>
    <row r="43">
      <c r="A43" s="7" t="n">
        <v>37</v>
      </c>
      <c r="B43" s="8" t="n"/>
      <c r="C43" s="9">
        <f>IF(B43="","","✓")</f>
        <v/>
      </c>
      <c r="E43" s="7" t="n">
        <v>125</v>
      </c>
      <c r="F43" s="8" t="n"/>
      <c r="G43" s="9">
        <f>IF(F43="","","✓")</f>
        <v/>
      </c>
    </row>
    <row r="44">
      <c r="A44" s="7" t="n">
        <v>38</v>
      </c>
      <c r="B44" s="8" t="n"/>
      <c r="C44" s="9">
        <f>IF(B44="","","✓")</f>
        <v/>
      </c>
      <c r="E44" s="7" t="n">
        <v>126</v>
      </c>
      <c r="F44" s="8" t="n"/>
      <c r="G44" s="9">
        <f>IF(F44="","","✓")</f>
        <v/>
      </c>
    </row>
    <row r="45">
      <c r="A45" s="7" t="n">
        <v>39</v>
      </c>
      <c r="B45" s="8" t="n"/>
      <c r="C45" s="9">
        <f>IF(B45="","","✓")</f>
        <v/>
      </c>
      <c r="E45" s="7" t="n">
        <v>127</v>
      </c>
      <c r="F45" s="8" t="n"/>
      <c r="G45" s="9">
        <f>IF(F45="","","✓")</f>
        <v/>
      </c>
    </row>
    <row r="46">
      <c r="A46" s="7" t="n">
        <v>40</v>
      </c>
      <c r="B46" s="8" t="n"/>
      <c r="C46" s="9">
        <f>IF(B46="","","✓")</f>
        <v/>
      </c>
      <c r="E46" s="7" t="n">
        <v>128</v>
      </c>
      <c r="F46" s="8" t="n"/>
      <c r="G46" s="9">
        <f>IF(F46="","","✓")</f>
        <v/>
      </c>
    </row>
    <row r="47">
      <c r="A47" s="7" t="n">
        <v>41</v>
      </c>
      <c r="B47" s="8" t="n"/>
      <c r="C47" s="9">
        <f>IF(B47="","","✓")</f>
        <v/>
      </c>
      <c r="E47" s="7" t="n">
        <v>129</v>
      </c>
      <c r="F47" s="8" t="n"/>
      <c r="G47" s="9">
        <f>IF(F47="","","✓")</f>
        <v/>
      </c>
    </row>
    <row r="48">
      <c r="A48" s="7" t="n">
        <v>42</v>
      </c>
      <c r="B48" s="8" t="n"/>
      <c r="C48" s="9">
        <f>IF(B48="","","✓")</f>
        <v/>
      </c>
      <c r="E48" s="7" t="n">
        <v>130</v>
      </c>
      <c r="F48" s="8" t="n"/>
      <c r="G48" s="9">
        <f>IF(F48="","","✓")</f>
        <v/>
      </c>
    </row>
    <row r="49">
      <c r="A49" s="7" t="n">
        <v>43</v>
      </c>
      <c r="B49" s="8" t="n"/>
      <c r="C49" s="9">
        <f>IF(B49="","","✓")</f>
        <v/>
      </c>
      <c r="E49" s="7" t="n">
        <v>131</v>
      </c>
      <c r="F49" s="8" t="n"/>
      <c r="G49" s="9">
        <f>IF(F49="","","✓")</f>
        <v/>
      </c>
    </row>
    <row r="50">
      <c r="A50" s="7" t="n">
        <v>44</v>
      </c>
      <c r="B50" s="8" t="n"/>
      <c r="C50" s="9">
        <f>IF(B50="","","✓")</f>
        <v/>
      </c>
      <c r="E50" s="7" t="n">
        <v>132</v>
      </c>
      <c r="F50" s="8" t="n"/>
      <c r="G50" s="9">
        <f>IF(F50="","","✓")</f>
        <v/>
      </c>
    </row>
    <row r="51">
      <c r="A51" s="7" t="n">
        <v>45</v>
      </c>
      <c r="B51" s="8" t="n"/>
      <c r="C51" s="9">
        <f>IF(B51="","","✓")</f>
        <v/>
      </c>
      <c r="E51" s="7" t="n">
        <v>133</v>
      </c>
      <c r="F51" s="8" t="n"/>
      <c r="G51" s="9">
        <f>IF(F51="","","✓")</f>
        <v/>
      </c>
    </row>
    <row r="52">
      <c r="A52" s="7" t="n">
        <v>46</v>
      </c>
      <c r="B52" s="8" t="n"/>
      <c r="C52" s="9">
        <f>IF(B52="","","✓")</f>
        <v/>
      </c>
      <c r="E52" s="7" t="n">
        <v>134</v>
      </c>
      <c r="F52" s="8" t="n"/>
      <c r="G52" s="9">
        <f>IF(F52="","","✓")</f>
        <v/>
      </c>
    </row>
    <row r="53">
      <c r="A53" s="7" t="n">
        <v>47</v>
      </c>
      <c r="B53" s="8" t="n"/>
      <c r="C53" s="9">
        <f>IF(B53="","","✓")</f>
        <v/>
      </c>
      <c r="E53" s="7" t="n">
        <v>135</v>
      </c>
      <c r="F53" s="8" t="n"/>
      <c r="G53" s="9">
        <f>IF(F53="","","✓")</f>
        <v/>
      </c>
    </row>
    <row r="54">
      <c r="A54" s="7" t="n">
        <v>48</v>
      </c>
      <c r="B54" s="8" t="n"/>
      <c r="C54" s="9">
        <f>IF(B54="","","✓")</f>
        <v/>
      </c>
      <c r="E54" s="7" t="n">
        <v>136</v>
      </c>
      <c r="F54" s="8" t="n"/>
      <c r="G54" s="9">
        <f>IF(F54="","","✓")</f>
        <v/>
      </c>
    </row>
    <row r="55">
      <c r="A55" s="7" t="n">
        <v>49</v>
      </c>
      <c r="B55" s="8" t="n"/>
      <c r="C55" s="9">
        <f>IF(B55="","","✓")</f>
        <v/>
      </c>
      <c r="E55" s="7" t="n">
        <v>137</v>
      </c>
      <c r="F55" s="8" t="n"/>
      <c r="G55" s="9">
        <f>IF(F55="","","✓")</f>
        <v/>
      </c>
    </row>
    <row r="56">
      <c r="A56" s="7" t="n">
        <v>50</v>
      </c>
      <c r="B56" s="8" t="n"/>
      <c r="C56" s="9">
        <f>IF(B56="","","✓")</f>
        <v/>
      </c>
      <c r="E56" s="7" t="n">
        <v>138</v>
      </c>
      <c r="F56" s="8" t="n"/>
      <c r="G56" s="9">
        <f>IF(F56="","","✓")</f>
        <v/>
      </c>
    </row>
    <row r="57">
      <c r="A57" s="7" t="n">
        <v>51</v>
      </c>
      <c r="B57" s="8" t="n"/>
      <c r="C57" s="9">
        <f>IF(B57="","","✓")</f>
        <v/>
      </c>
      <c r="E57" s="7" t="n">
        <v>139</v>
      </c>
      <c r="F57" s="8" t="n"/>
      <c r="G57" s="9">
        <f>IF(F57="","","✓")</f>
        <v/>
      </c>
    </row>
    <row r="58">
      <c r="A58" s="7" t="n">
        <v>52</v>
      </c>
      <c r="B58" s="8" t="n"/>
      <c r="C58" s="9">
        <f>IF(B58="","","✓")</f>
        <v/>
      </c>
      <c r="E58" s="7" t="n">
        <v>140</v>
      </c>
      <c r="F58" s="8" t="n"/>
      <c r="G58" s="9">
        <f>IF(F58="","","✓")</f>
        <v/>
      </c>
    </row>
    <row r="59">
      <c r="A59" s="7" t="n">
        <v>53</v>
      </c>
      <c r="B59" s="8" t="n"/>
      <c r="C59" s="9">
        <f>IF(B59="","","✓")</f>
        <v/>
      </c>
      <c r="E59" s="7" t="n">
        <v>141</v>
      </c>
      <c r="F59" s="8" t="n"/>
      <c r="G59" s="9">
        <f>IF(F59="","","✓")</f>
        <v/>
      </c>
    </row>
    <row r="60">
      <c r="A60" s="7" t="n">
        <v>54</v>
      </c>
      <c r="B60" s="8" t="n"/>
      <c r="C60" s="9">
        <f>IF(B60="","","✓")</f>
        <v/>
      </c>
      <c r="E60" s="7" t="n">
        <v>142</v>
      </c>
      <c r="F60" s="8" t="n"/>
      <c r="G60" s="9">
        <f>IF(F60="","","✓")</f>
        <v/>
      </c>
    </row>
    <row r="61">
      <c r="A61" s="7" t="n">
        <v>55</v>
      </c>
      <c r="B61" s="8" t="n"/>
      <c r="C61" s="9">
        <f>IF(B61="","","✓")</f>
        <v/>
      </c>
      <c r="E61" s="7" t="n">
        <v>143</v>
      </c>
      <c r="F61" s="8" t="n"/>
      <c r="G61" s="9">
        <f>IF(F61="","","✓")</f>
        <v/>
      </c>
    </row>
    <row r="62">
      <c r="A62" s="7" t="n">
        <v>56</v>
      </c>
      <c r="B62" s="8" t="n"/>
      <c r="C62" s="9">
        <f>IF(B62="","","✓")</f>
        <v/>
      </c>
      <c r="E62" s="7" t="n">
        <v>144</v>
      </c>
      <c r="F62" s="8" t="n"/>
      <c r="G62" s="9">
        <f>IF(F62="","","✓")</f>
        <v/>
      </c>
    </row>
    <row r="63">
      <c r="A63" s="7" t="n">
        <v>57</v>
      </c>
      <c r="B63" s="8" t="n"/>
      <c r="C63" s="9">
        <f>IF(B63="","","✓")</f>
        <v/>
      </c>
      <c r="E63" s="7" t="n">
        <v>145</v>
      </c>
      <c r="F63" s="8" t="n"/>
      <c r="G63" s="9">
        <f>IF(F63="","","✓")</f>
        <v/>
      </c>
    </row>
    <row r="64">
      <c r="A64" s="7" t="n">
        <v>58</v>
      </c>
      <c r="B64" s="8" t="n"/>
      <c r="C64" s="9">
        <f>IF(B64="","","✓")</f>
        <v/>
      </c>
      <c r="E64" s="7" t="n">
        <v>146</v>
      </c>
      <c r="F64" s="8" t="n"/>
      <c r="G64" s="9">
        <f>IF(F64="","","✓")</f>
        <v/>
      </c>
    </row>
    <row r="65">
      <c r="A65" s="7" t="n">
        <v>59</v>
      </c>
      <c r="B65" s="8" t="n"/>
      <c r="C65" s="9">
        <f>IF(B65="","","✓")</f>
        <v/>
      </c>
      <c r="E65" s="7" t="n">
        <v>147</v>
      </c>
      <c r="F65" s="8" t="n"/>
      <c r="G65" s="9">
        <f>IF(F65="","","✓")</f>
        <v/>
      </c>
    </row>
    <row r="66">
      <c r="A66" s="7" t="n">
        <v>60</v>
      </c>
      <c r="B66" s="8" t="n"/>
      <c r="C66" s="9">
        <f>IF(B66="","","✓")</f>
        <v/>
      </c>
      <c r="E66" s="7" t="n">
        <v>148</v>
      </c>
      <c r="F66" s="8" t="n"/>
      <c r="G66" s="9">
        <f>IF(F66="","","✓")</f>
        <v/>
      </c>
    </row>
    <row r="67">
      <c r="A67" s="7" t="n">
        <v>61</v>
      </c>
      <c r="B67" s="8" t="n"/>
      <c r="C67" s="9">
        <f>IF(B67="","","✓")</f>
        <v/>
      </c>
      <c r="E67" s="7" t="n">
        <v>149</v>
      </c>
      <c r="F67" s="8" t="n"/>
      <c r="G67" s="9">
        <f>IF(F67="","","✓")</f>
        <v/>
      </c>
    </row>
    <row r="68">
      <c r="A68" s="7" t="n">
        <v>62</v>
      </c>
      <c r="B68" s="8" t="n"/>
      <c r="C68" s="9">
        <f>IF(B68="","","✓")</f>
        <v/>
      </c>
      <c r="E68" s="7" t="n">
        <v>150</v>
      </c>
      <c r="F68" s="8" t="n"/>
      <c r="G68" s="9">
        <f>IF(F68="","","✓")</f>
        <v/>
      </c>
    </row>
    <row r="69">
      <c r="A69" s="7" t="n">
        <v>63</v>
      </c>
      <c r="B69" s="8" t="n"/>
      <c r="C69" s="9">
        <f>IF(B69="","","✓")</f>
        <v/>
      </c>
      <c r="E69" s="7" t="n">
        <v>151</v>
      </c>
      <c r="F69" s="8" t="n"/>
      <c r="G69" s="9">
        <f>IF(F69="","","✓")</f>
        <v/>
      </c>
    </row>
    <row r="70">
      <c r="A70" s="7" t="n">
        <v>64</v>
      </c>
      <c r="B70" s="8" t="n"/>
      <c r="C70" s="9">
        <f>IF(B70="","","✓")</f>
        <v/>
      </c>
      <c r="E70" s="7" t="n">
        <v>152</v>
      </c>
      <c r="F70" s="8" t="n"/>
      <c r="G70" s="9">
        <f>IF(F70="","","✓")</f>
        <v/>
      </c>
    </row>
    <row r="71">
      <c r="A71" s="7" t="n">
        <v>65</v>
      </c>
      <c r="B71" s="8" t="n"/>
      <c r="C71" s="9">
        <f>IF(B71="","","✓")</f>
        <v/>
      </c>
      <c r="E71" s="7" t="n">
        <v>153</v>
      </c>
      <c r="F71" s="8" t="n"/>
      <c r="G71" s="9">
        <f>IF(F71="","","✓")</f>
        <v/>
      </c>
    </row>
    <row r="72">
      <c r="A72" s="7" t="n">
        <v>66</v>
      </c>
      <c r="B72" s="8" t="n"/>
      <c r="C72" s="9">
        <f>IF(B72="","","✓")</f>
        <v/>
      </c>
      <c r="E72" s="7" t="n">
        <v>154</v>
      </c>
      <c r="F72" s="8" t="n"/>
      <c r="G72" s="9">
        <f>IF(F72="","","✓")</f>
        <v/>
      </c>
    </row>
    <row r="73">
      <c r="A73" s="7" t="n">
        <v>67</v>
      </c>
      <c r="B73" s="8" t="n"/>
      <c r="C73" s="9">
        <f>IF(B73="","","✓")</f>
        <v/>
      </c>
      <c r="E73" s="7" t="n">
        <v>155</v>
      </c>
      <c r="F73" s="8" t="n"/>
      <c r="G73" s="9">
        <f>IF(F73="","","✓")</f>
        <v/>
      </c>
    </row>
    <row r="74">
      <c r="A74" s="7" t="n">
        <v>68</v>
      </c>
      <c r="B74" s="8" t="n"/>
      <c r="C74" s="9">
        <f>IF(B74="","","✓")</f>
        <v/>
      </c>
      <c r="E74" s="7" t="n">
        <v>156</v>
      </c>
      <c r="F74" s="8" t="n"/>
      <c r="G74" s="9">
        <f>IF(F74="","","✓")</f>
        <v/>
      </c>
    </row>
    <row r="75">
      <c r="A75" s="7" t="n">
        <v>69</v>
      </c>
      <c r="B75" s="8" t="n"/>
      <c r="C75" s="9">
        <f>IF(B75="","","✓")</f>
        <v/>
      </c>
      <c r="E75" s="7" t="n">
        <v>157</v>
      </c>
      <c r="F75" s="8" t="n"/>
      <c r="G75" s="9">
        <f>IF(F75="","","✓")</f>
        <v/>
      </c>
    </row>
    <row r="76">
      <c r="A76" s="7" t="n">
        <v>70</v>
      </c>
      <c r="B76" s="8" t="n"/>
      <c r="C76" s="9">
        <f>IF(B76="","","✓")</f>
        <v/>
      </c>
      <c r="E76" s="7" t="n">
        <v>158</v>
      </c>
      <c r="F76" s="8" t="n"/>
      <c r="G76" s="9">
        <f>IF(F76="","","✓")</f>
        <v/>
      </c>
    </row>
    <row r="77">
      <c r="A77" s="7" t="n">
        <v>71</v>
      </c>
      <c r="B77" s="8" t="n"/>
      <c r="C77" s="9">
        <f>IF(B77="","","✓")</f>
        <v/>
      </c>
      <c r="E77" s="7" t="n">
        <v>159</v>
      </c>
      <c r="F77" s="8" t="n"/>
      <c r="G77" s="9">
        <f>IF(F77="","","✓")</f>
        <v/>
      </c>
    </row>
    <row r="78">
      <c r="A78" s="7" t="n">
        <v>72</v>
      </c>
      <c r="B78" s="8" t="n"/>
      <c r="C78" s="9">
        <f>IF(B78="","","✓")</f>
        <v/>
      </c>
      <c r="E78" s="7" t="n">
        <v>160</v>
      </c>
      <c r="F78" s="8" t="n"/>
      <c r="G78" s="9">
        <f>IF(F78="","","✓")</f>
        <v/>
      </c>
    </row>
    <row r="79">
      <c r="A79" s="7" t="n">
        <v>73</v>
      </c>
      <c r="B79" s="8" t="n"/>
      <c r="C79" s="9">
        <f>IF(B79="","","✓")</f>
        <v/>
      </c>
      <c r="E79" s="7" t="n">
        <v>161</v>
      </c>
      <c r="F79" s="8" t="n"/>
      <c r="G79" s="9">
        <f>IF(F79="","","✓")</f>
        <v/>
      </c>
    </row>
    <row r="80">
      <c r="A80" s="7" t="n">
        <v>74</v>
      </c>
      <c r="B80" s="8" t="n"/>
      <c r="C80" s="9">
        <f>IF(B80="","","✓")</f>
        <v/>
      </c>
      <c r="E80" s="7" t="n">
        <v>162</v>
      </c>
      <c r="F80" s="8" t="n"/>
      <c r="G80" s="9">
        <f>IF(F80="","","✓")</f>
        <v/>
      </c>
    </row>
    <row r="81">
      <c r="A81" s="7" t="n">
        <v>75</v>
      </c>
      <c r="B81" s="8" t="n"/>
      <c r="C81" s="9">
        <f>IF(B81="","","✓")</f>
        <v/>
      </c>
      <c r="E81" s="7" t="n">
        <v>163</v>
      </c>
      <c r="F81" s="8" t="n"/>
      <c r="G81" s="9">
        <f>IF(F81="","","✓")</f>
        <v/>
      </c>
    </row>
    <row r="82">
      <c r="A82" s="7" t="n">
        <v>76</v>
      </c>
      <c r="B82" s="8" t="n"/>
      <c r="C82" s="9">
        <f>IF(B82="","","✓")</f>
        <v/>
      </c>
      <c r="E82" s="7" t="n">
        <v>164</v>
      </c>
      <c r="F82" s="8" t="n"/>
      <c r="G82" s="9">
        <f>IF(F82="","","✓")</f>
        <v/>
      </c>
    </row>
    <row r="83">
      <c r="A83" s="7" t="n">
        <v>77</v>
      </c>
      <c r="B83" s="8" t="n"/>
      <c r="C83" s="9">
        <f>IF(B83="","","✓")</f>
        <v/>
      </c>
      <c r="E83" s="7" t="n">
        <v>165</v>
      </c>
      <c r="F83" s="8" t="n"/>
      <c r="G83" s="9">
        <f>IF(F83="","","✓")</f>
        <v/>
      </c>
    </row>
    <row r="84">
      <c r="A84" s="7" t="n">
        <v>78</v>
      </c>
      <c r="B84" s="8" t="n"/>
      <c r="C84" s="9">
        <f>IF(B84="","","✓")</f>
        <v/>
      </c>
      <c r="E84" s="7" t="n">
        <v>166</v>
      </c>
      <c r="F84" s="8" t="n"/>
      <c r="G84" s="9">
        <f>IF(F84="","","✓")</f>
        <v/>
      </c>
    </row>
    <row r="85">
      <c r="A85" s="7" t="n">
        <v>79</v>
      </c>
      <c r="B85" s="8" t="n"/>
      <c r="C85" s="9">
        <f>IF(B85="","","✓")</f>
        <v/>
      </c>
      <c r="E85" s="7" t="n">
        <v>167</v>
      </c>
      <c r="F85" s="8" t="n"/>
      <c r="G85" s="9">
        <f>IF(F85="","","✓")</f>
        <v/>
      </c>
    </row>
    <row r="86">
      <c r="A86" s="7" t="n">
        <v>80</v>
      </c>
      <c r="B86" s="8" t="n"/>
      <c r="C86" s="9">
        <f>IF(B86="","","✓")</f>
        <v/>
      </c>
      <c r="E86" s="7" t="n">
        <v>168</v>
      </c>
      <c r="F86" s="8" t="n"/>
      <c r="G86" s="9">
        <f>IF(F86="","","✓")</f>
        <v/>
      </c>
    </row>
    <row r="87">
      <c r="A87" s="7" t="n">
        <v>81</v>
      </c>
      <c r="B87" s="8" t="n"/>
      <c r="C87" s="9">
        <f>IF(B87="","","✓")</f>
        <v/>
      </c>
      <c r="E87" s="7" t="n">
        <v>169</v>
      </c>
      <c r="F87" s="8" t="n"/>
      <c r="G87" s="9">
        <f>IF(F87="","","✓")</f>
        <v/>
      </c>
    </row>
    <row r="88">
      <c r="A88" s="7" t="n">
        <v>82</v>
      </c>
      <c r="B88" s="8" t="n"/>
      <c r="C88" s="9">
        <f>IF(B88="","","✓")</f>
        <v/>
      </c>
      <c r="E88" s="7" t="n">
        <v>170</v>
      </c>
      <c r="F88" s="8" t="n"/>
      <c r="G88" s="9">
        <f>IF(F88="","","✓")</f>
        <v/>
      </c>
    </row>
    <row r="89">
      <c r="A89" s="7" t="n">
        <v>83</v>
      </c>
      <c r="B89" s="8" t="n"/>
      <c r="C89" s="9">
        <f>IF(B89="","","✓")</f>
        <v/>
      </c>
      <c r="E89" s="7" t="n">
        <v>171</v>
      </c>
      <c r="F89" s="8" t="n"/>
      <c r="G89" s="9">
        <f>IF(F89="","","✓")</f>
        <v/>
      </c>
    </row>
    <row r="90">
      <c r="A90" s="7" t="n">
        <v>84</v>
      </c>
      <c r="B90" s="8" t="n"/>
      <c r="C90" s="9">
        <f>IF(B90="","","✓")</f>
        <v/>
      </c>
      <c r="E90" s="7" t="n">
        <v>172</v>
      </c>
      <c r="F90" s="8" t="n"/>
      <c r="G90" s="9">
        <f>IF(F90="","","✓")</f>
        <v/>
      </c>
    </row>
    <row r="91">
      <c r="A91" s="7" t="n">
        <v>85</v>
      </c>
      <c r="B91" s="8" t="n"/>
      <c r="C91" s="9">
        <f>IF(B91="","","✓")</f>
        <v/>
      </c>
      <c r="E91" s="7" t="n">
        <v>173</v>
      </c>
      <c r="F91" s="8" t="n"/>
      <c r="G91" s="9">
        <f>IF(F91="","","✓")</f>
        <v/>
      </c>
    </row>
    <row r="92">
      <c r="A92" s="7" t="n">
        <v>86</v>
      </c>
      <c r="B92" s="8" t="n"/>
      <c r="C92" s="9">
        <f>IF(B92="","","✓")</f>
        <v/>
      </c>
      <c r="E92" s="7" t="n">
        <v>174</v>
      </c>
      <c r="F92" s="8" t="n"/>
      <c r="G92" s="9">
        <f>IF(F92="","","✓")</f>
        <v/>
      </c>
    </row>
    <row r="93">
      <c r="A93" s="7" t="n">
        <v>87</v>
      </c>
      <c r="B93" s="8" t="n"/>
      <c r="C93" s="9">
        <f>IF(B93="","","✓")</f>
        <v/>
      </c>
      <c r="E93" s="7" t="n">
        <v>175</v>
      </c>
      <c r="F93" s="8" t="n"/>
      <c r="G93" s="9">
        <f>IF(F93="","","✓")</f>
        <v/>
      </c>
    </row>
    <row r="94">
      <c r="A94" s="7" t="n">
        <v>88</v>
      </c>
      <c r="B94" s="8" t="n"/>
      <c r="C94" s="9">
        <f>IF(B94="","","✓")</f>
        <v/>
      </c>
    </row>
    <row r="96">
      <c r="A96" s="10" t="inlineStr">
        <is>
          <t>SUMMARY:</t>
        </is>
      </c>
    </row>
    <row r="97">
      <c r="A97" t="inlineStr">
        <is>
          <t>Items Answered:</t>
        </is>
      </c>
      <c r="B97" s="10">
        <f>COUNTA(B7:B94)+COUNTA(F7:F93)</f>
        <v/>
      </c>
    </row>
    <row r="98">
      <c r="A98" t="inlineStr">
        <is>
          <t>Items Omitted:</t>
        </is>
      </c>
      <c r="B98">
        <f>175-(COUNTA(B7:B94)+COUNTA(F7:F93))</f>
        <v/>
      </c>
    </row>
    <row r="99">
      <c r="A99" t="inlineStr">
        <is>
          <t>Status:</t>
        </is>
      </c>
      <c r="B99" s="3">
        <f>IF((COUNTA(B7:B94)+COUNTA(F7:F93))=175,"COMPLETE","INCOMPLETE - "&amp;175-(COUNTA(B7:B94)+COUNTA(F7:F93))&amp;" items remaining")</f>
        <v/>
      </c>
    </row>
  </sheetData>
  <mergeCells count="2">
    <mergeCell ref="A2:E2"/>
    <mergeCell ref="A1:E1"/>
  </mergeCells>
  <dataValidations count="3">
    <dataValidation sqref="D3" showDropDown="0" showInputMessage="0" showErrorMessage="0" allowBlank="0" errorTitle="Invalid Setting" error="Please enter OPD or IPD" type="list">
      <formula1>"OPD,IPD"</formula1>
    </dataValidation>
    <dataValidation sqref="B4" showDropDown="0" showInputMessage="0" showErrorMessage="0" allowBlank="0" type="list">
      <formula1>"M,F"</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showDropDown="0" showInputMessage="0" showErrorMessage="0" allowBlank="0" errorTitle="Invalid Response" error="Please enter TRUE or FALSE"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8" customWidth="1" min="1" max="1"/>
    <col width="35" customWidth="1" min="2" max="2"/>
    <col width="12" customWidth="1" min="3" max="3"/>
    <col width="12" customWidth="1" min="4" max="4"/>
    <col width="12" customWidth="1" min="5" max="5"/>
    <col width="12" customWidth="1" min="6" max="6"/>
    <col width="28" customWidth="1" min="7" max="7"/>
    <col width="14" customWidth="1" min="8" max="8"/>
  </cols>
  <sheetData>
    <row r="1">
      <c r="A1" s="1" t="inlineStr">
        <is>
          <t>MCMI-III AUTOMATIC SCORING RESULTS</t>
        </is>
      </c>
    </row>
    <row r="2">
      <c r="A2" s="11" t="inlineStr">
        <is>
          <t>All scores calculated automatically from your DATA ENTRY responses</t>
        </is>
      </c>
    </row>
    <row r="4">
      <c r="A4" s="12" t="inlineStr">
        <is>
          <t>VALIDITY CHECKS</t>
        </is>
      </c>
    </row>
    <row r="5">
      <c r="A5" s="13" t="inlineStr">
        <is>
          <t>Scale</t>
        </is>
      </c>
      <c r="B5" s="13" t="inlineStr">
        <is>
          <t>Name</t>
        </is>
      </c>
      <c r="C5" s="13" t="inlineStr">
        <is>
          <t>Score</t>
        </is>
      </c>
      <c r="D5" s="13" t="inlineStr">
        <is>
          <t>Threshold</t>
        </is>
      </c>
      <c r="E5" s="13" t="inlineStr">
        <is>
          <t>Result</t>
        </is>
      </c>
    </row>
    <row r="6">
      <c r="A6" s="9" t="inlineStr">
        <is>
          <t>-</t>
        </is>
      </c>
      <c r="B6" s="9" t="inlineStr">
        <is>
          <t>Omitted Items</t>
        </is>
      </c>
      <c r="C6" s="9">
        <f>175-(COUNTA('DATA ENTRY'!B7:B94)+COUNTA('DATA ENTRY'!F7:F93))</f>
        <v/>
      </c>
      <c r="D6" s="9" t="inlineStr">
        <is>
          <t>&lt;= 11</t>
        </is>
      </c>
      <c r="E6" s="9">
        <f>IF(C6&gt;11,"INVALID","VALID")</f>
        <v/>
      </c>
    </row>
    <row r="7">
      <c r="A7" s="9" t="inlineStr">
        <is>
          <t>V</t>
        </is>
      </c>
      <c r="B7" s="9" t="inlineStr">
        <is>
          <t>Invalidity (Items 65, 110, 157)</t>
        </is>
      </c>
      <c r="C7" s="9">
        <f>IF('DATA ENTRY'!B71="TRUE",1,0)+IF('DATA ENTRY'!F28="TRUE",1,0)+IF('DATA ENTRY'!F75="TRUE",1,0)</f>
        <v/>
      </c>
      <c r="D7" s="9" t="inlineStr">
        <is>
          <t>&lt; 2</t>
        </is>
      </c>
      <c r="E7" s="9">
        <f>IF(C7&gt;=2,"INVALID",IF(C7=1,"QUESTIONABLE","VALID"))</f>
        <v/>
      </c>
    </row>
    <row r="8">
      <c r="A8" s="9" t="inlineStr">
        <is>
          <t>W</t>
        </is>
      </c>
      <c r="B8" s="9" t="inlineStr">
        <is>
          <t>Inconsistency (44 item pairs)</t>
        </is>
      </c>
      <c r="C8" s="9">
        <f>IF(AND('DATA ENTRY'!B9&lt;&gt;"",'DATA ENTRY'!F67&lt;&gt;"",'DATA ENTRY'!B9&lt;&gt;'DATA ENTRY'!F67),1,0)+IF(AND('DATA ENTRY'!B16&lt;&gt;"",'DATA ENTRY'!F83&lt;&gt;"",'DATA ENTRY'!B16&lt;&gt;'DATA ENTRY'!F83),1,0)+IF(AND('DATA ENTRY'!B20&lt;&gt;"",'DATA ENTRY'!F12&lt;&gt;"",'DATA ENTRY'!B20&lt;&gt;'DATA ENTRY'!F12),1,0)+IF(AND('DATA ENTRY'!B21&lt;&gt;"",'DATA ENTRY'!B67&lt;&gt;"",'DATA ENTRY'!B21&lt;&gt;'DATA ENTRY'!B67),1,0)+IF(AND('DATA ENTRY'!B25&lt;&gt;"",'DATA ENTRY'!F68&lt;&gt;"",'DATA ENTRY'!B25&lt;&gt;'DATA ENTRY'!F68),1,0)+IF(AND('DATA ENTRY'!B31&lt;&gt;"",'DATA ENTRY'!F48&lt;&gt;"",'DATA ENTRY'!B31&lt;&gt;'DATA ENTRY'!F48),1,0)+IF(AND('DATA ENTRY'!B45&lt;&gt;"",'DATA ENTRY'!F74&lt;&gt;"",'DATA ENTRY'!B45&lt;&gt;'DATA ENTRY'!F74),1,0)+IF(AND('DATA ENTRY'!B48&lt;&gt;"",'DATA ENTRY'!F11&lt;&gt;"",'DATA ENTRY'!B48&lt;&gt;'DATA ENTRY'!F11),1,0)+IF(AND('DATA ENTRY'!B55&lt;&gt;"",'DATA ENTRY'!F70&lt;&gt;"",'DATA ENTRY'!B55&lt;&gt;'DATA ENTRY'!F70),1,0)+IF(AND('DATA ENTRY'!B63&lt;&gt;"",'DATA ENTRY'!F15&lt;&gt;"",'DATA ENTRY'!B63&lt;&gt;'DATA ENTRY'!F15),1,0)+IF(AND('DATA ENTRY'!B66&lt;&gt;"",'DATA ENTRY'!F23&lt;&gt;"",'DATA ENTRY'!B66&lt;&gt;'DATA ENTRY'!F23),1,0)+IF(AND('DATA ENTRY'!B68&lt;&gt;"",'DATA ENTRY'!F29&lt;&gt;"",'DATA ENTRY'!B68&lt;&gt;'DATA ENTRY'!F29),1,0)+IF(AND('DATA ENTRY'!B72&lt;&gt;"",'DATA ENTRY'!F35&lt;&gt;"",'DATA ENTRY'!B72&lt;&gt;'DATA ENTRY'!F35),1,0)+IF(AND('DATA ENTRY'!B73&lt;&gt;"",'DATA ENTRY'!F73&lt;&gt;"",'DATA ENTRY'!B73&lt;&gt;'DATA ENTRY'!F73),1,0)+IF(AND('DATA ENTRY'!B76&lt;&gt;"",'DATA ENTRY'!F37&lt;&gt;"",'DATA ENTRY'!B76&lt;&gt;'DATA ENTRY'!F37),1,0)+IF(AND('DATA ENTRY'!B79&lt;&gt;"",'DATA ENTRY'!F38&lt;&gt;"",'DATA ENTRY'!B79&lt;&gt;'DATA ENTRY'!F38),1,0)+IF(AND('DATA ENTRY'!B81&lt;&gt;"",'DATA ENTRY'!F78&lt;&gt;"",'DATA ENTRY'!B81&lt;&gt;'DATA ENTRY'!F78),1,0)+IF(AND('DATA ENTRY'!B85&lt;&gt;"",'DATA ENTRY'!F43&lt;&gt;"",'DATA ENTRY'!B85&lt;&gt;'DATA ENTRY'!F43),1,0)+IF(AND('DATA ENTRY'!B86&lt;&gt;"",'DATA ENTRY'!F84&lt;&gt;"",'DATA ENTRY'!B86&lt;&gt;'DATA ENTRY'!F84),1,0)+IF(AND('DATA ENTRY'!B90&lt;&gt;"",'DATA ENTRY'!F45&lt;&gt;"",'DATA ENTRY'!B90&lt;&gt;'DATA ENTRY'!F45),1,0)+IF(AND('DATA ENTRY'!B92&lt;&gt;"",'DATA ENTRY'!F46&lt;&gt;"",'DATA ENTRY'!B92&lt;&gt;'DATA ENTRY'!F46),1,0)+IF(AND('DATA ENTRY'!F7&lt;&gt;"",'DATA ENTRY'!F52&lt;&gt;"",'DATA ENTRY'!F7&lt;&gt;'DATA ENTRY'!F52),1,0)+IF(AND('DATA ENTRY'!F9&lt;&gt;"",'DATA ENTRY'!F87&lt;&gt;"",'DATA ENTRY'!F9&lt;&gt;'DATA ENTRY'!F87),1,0)+IF(AND('DATA ENTRY'!F16&lt;&gt;"",'DATA ENTRY'!F56&lt;&gt;"",'DATA ENTRY'!F16&lt;&gt;'DATA ENTRY'!F56),1,0)+IF(AND('DATA ENTRY'!F19&lt;&gt;"",'DATA ENTRY'!F60&lt;&gt;"",'DATA ENTRY'!F19&lt;&gt;'DATA ENTRY'!F60),1,0)+IF(AND('DATA ENTRY'!F20&lt;&gt;"",'DATA ENTRY'!F61&lt;&gt;"",'DATA ENTRY'!F20&lt;&gt;'DATA ENTRY'!F61),1,0)+IF(AND('DATA ENTRY'!F22&lt;&gt;"",'DATA ENTRY'!F62&lt;&gt;"",'DATA ENTRY'!F22&lt;&gt;'DATA ENTRY'!F62),1,0)+IF(AND('DATA ENTRY'!F26&lt;&gt;"",'DATA ENTRY'!F65&lt;&gt;"",'DATA ENTRY'!F26&lt;&gt;'DATA ENTRY'!F65),1,0)+IF(AND('DATA ENTRY'!F30&lt;&gt;"",'DATA ENTRY'!F69&lt;&gt;"",'DATA ENTRY'!F30&lt;&gt;'DATA ENTRY'!F69),1,0)+IF(AND('DATA ENTRY'!F34&lt;&gt;"",'DATA ENTRY'!F71&lt;&gt;"",'DATA ENTRY'!F34&lt;&gt;'DATA ENTRY'!F71),1,0)+IF(AND('DATA ENTRY'!B8&lt;&gt;"",'DATA ENTRY'!B94&lt;&gt;"",'DATA ENTRY'!B8&lt;&gt;'DATA ENTRY'!B94),1,0)+IF(AND('DATA ENTRY'!B11&lt;&gt;"",'DATA ENTRY'!B83&lt;&gt;"",'DATA ENTRY'!B11&lt;&gt;'DATA ENTRY'!B83),1,0)+IF(AND('DATA ENTRY'!B17&lt;&gt;"",'DATA ENTRY'!B60&lt;&gt;"",'DATA ENTRY'!B17&lt;&gt;'DATA ENTRY'!B60),1,0)+IF(AND('DATA ENTRY'!B26&lt;&gt;"",'DATA ENTRY'!F55&lt;&gt;"",'DATA ENTRY'!B26&lt;&gt;'DATA ENTRY'!F55),1,0)+IF(AND('DATA ENTRY'!B28&lt;&gt;"",'DATA ENTRY'!F39&lt;&gt;"",'DATA ENTRY'!B28&lt;&gt;'DATA ENTRY'!F39),1,0)+IF(AND('DATA ENTRY'!B37&lt;&gt;"",'DATA ENTRY'!F79&lt;&gt;"",'DATA ENTRY'!B37&lt;&gt;'DATA ENTRY'!F79),1,0)+IF(AND('DATA ENTRY'!B43&lt;&gt;"",'DATA ENTRY'!B69&lt;&gt;"",'DATA ENTRY'!B43&lt;&gt;'DATA ENTRY'!B69),1,0)+IF(AND('DATA ENTRY'!B46&lt;&gt;"",'DATA ENTRY'!F82&lt;&gt;"",'DATA ENTRY'!B46&lt;&gt;'DATA ENTRY'!F82),1,0)+IF(AND('DATA ENTRY'!B47&lt;&gt;"",'DATA ENTRY'!F57&lt;&gt;"",'DATA ENTRY'!B47&lt;&gt;'DATA ENTRY'!F57),1,0)+IF(AND('DATA ENTRY'!B51&lt;&gt;"",'DATA ENTRY'!B87&lt;&gt;"",'DATA ENTRY'!B51&lt;&gt;'DATA ENTRY'!B87),1,0)+IF(AND('DATA ENTRY'!B52&lt;&gt;"",'DATA ENTRY'!B84&lt;&gt;"",'DATA ENTRY'!B52&lt;&gt;'DATA ENTRY'!B84),1,0)+IF(AND('DATA ENTRY'!B57&lt;&gt;"",'DATA ENTRY'!F76&lt;&gt;"",'DATA ENTRY'!B57&lt;&gt;'DATA ENTRY'!F76),1,0)+IF(AND('DATA ENTRY'!B59&lt;&gt;"",'DATA ENTRY'!F53&lt;&gt;"",'DATA ENTRY'!B59&lt;&gt;'DATA ENTRY'!F53),1,0)+IF(AND('DATA ENTRY'!B61&lt;&gt;"",'DATA ENTRY'!F90&lt;&gt;"",'DATA ENTRY'!B61&lt;&gt;'DATA ENTRY'!F90),1,0)</f>
        <v/>
      </c>
      <c r="D8" s="9" t="inlineStr">
        <is>
          <t>&lt; 10</t>
        </is>
      </c>
      <c r="E8" s="9">
        <f>IF(C8&gt;=10,"INVALID",IF(C8&gt;=8,"QUESTIONABLE","VALID"))</f>
        <v/>
      </c>
    </row>
    <row r="9">
      <c r="A9" s="14" t="inlineStr"/>
      <c r="B9" s="15" t="inlineStr">
        <is>
          <t>OVERALL VALIDITY</t>
        </is>
      </c>
      <c r="C9" s="16" t="inlineStr"/>
      <c r="D9" s="16" t="inlineStr"/>
      <c r="E9" s="17">
        <f>IF(OR(E6="INVALID",E7="INVALID",E8="INVALID"),"INVALID",IF(OR(E7="QUESTIONABLE",E8="QUESTIONABLE"),"QUESTIONABLE","VALID"))</f>
        <v/>
      </c>
    </row>
    <row r="11">
      <c r="A11" s="18" t="inlineStr">
        <is>
          <t>COMPLETE SCALE SCORES</t>
        </is>
      </c>
    </row>
    <row r="12">
      <c r="A12" s="6" t="inlineStr">
        <is>
          <t>Scale</t>
        </is>
      </c>
      <c r="B12" s="6" t="inlineStr">
        <is>
          <t>Name</t>
        </is>
      </c>
      <c r="C12" s="6" t="inlineStr">
        <is>
          <t>Raw Score</t>
        </is>
      </c>
      <c r="D12" s="6" t="inlineStr">
        <is>
          <t>Initial BR</t>
        </is>
      </c>
      <c r="E12" s="6" t="inlineStr">
        <is>
          <t>Adjusted BR</t>
        </is>
      </c>
      <c r="F12" s="6" t="inlineStr">
        <is>
          <t>Final BR</t>
        </is>
      </c>
      <c r="G12" s="6" t="inlineStr">
        <is>
          <t>Interpretation</t>
        </is>
      </c>
      <c r="H12" s="6" t="inlineStr">
        <is>
          <t>Level</t>
        </is>
      </c>
    </row>
    <row r="13">
      <c r="A13" s="19" t="inlineStr">
        <is>
          <t>Modifying Index</t>
        </is>
      </c>
    </row>
    <row r="14">
      <c r="A14" s="20" t="inlineStr">
        <is>
          <t>Y</t>
        </is>
      </c>
      <c r="B14" s="21" t="inlineStr">
        <is>
          <t>Desirability</t>
        </is>
      </c>
      <c r="C14" s="9">
        <f>IF('DATA ENTRY'!B10="TRUE",1,0)+IF('DATA ENTRY'!B13="TRUE",2,0)+IF('DATA ENTRY'!B32="TRUE",2,0)+IF('DATA ENTRY'!B74="TRUE",1,0)+IF('DATA ENTRY'!B80="TRUE",1,0)+IF('DATA ENTRY'!B88="TRUE",1,0)+IF('DATA ENTRY'!B94="TRUE",2,0)+IF('DATA ENTRY'!F8="TRUE",1,0)+IF('DATA ENTRY'!F13="TRUE",1,0)+IF('DATA ENTRY'!F17="TRUE",1,0)+IF('DATA ENTRY'!F21="TRUE",2,0)+IF('DATA ENTRY'!F24="TRUE",1,0)+IF('DATA ENTRY'!F31="TRUE",1,0)+IF('DATA ENTRY'!F49="TRUE",1,0)+IF('DATA ENTRY'!F51="TRUE",2,0)+IF('DATA ENTRY'!F58="TRUE",1,0)+IF('DATA ENTRY'!F63="TRUE",1,0)+IF('DATA ENTRY'!F71="TRUE",1,0)+IF('DATA ENTRY'!F80="TRUE",1,0)+IF('DATA ENTRY'!F85="TRUE",1,0)+IF('DATA ENTRY'!F88="TRUE",1,0)</f>
        <v/>
      </c>
      <c r="D14" s="9">
        <f>C14*3</f>
        <v/>
      </c>
      <c r="E14" s="9">
        <f>D14</f>
        <v/>
      </c>
      <c r="F14" s="9">
        <f>MIN(115,MAX(0,E14))</f>
        <v/>
      </c>
      <c r="G14" s="9">
        <f>IF(F14&gt;=85,"PROMINENT (Disorder)",IF(F14&gt;=75,"CLINICALLY SIGNIFICANT",IF(F14&gt;=60,"Trait Present","Not Significant")))</f>
        <v/>
      </c>
      <c r="H14" s="9">
        <f>IF(F14&gt;=85,"***",IF(F14&gt;=75,"**",IF(F14&gt;=60,"*","")))</f>
        <v/>
      </c>
    </row>
    <row r="15">
      <c r="A15" s="20" t="inlineStr">
        <is>
          <t>Z</t>
        </is>
      </c>
      <c r="B15" s="21" t="inlineStr">
        <is>
          <t>Debasement</t>
        </is>
      </c>
      <c r="C15" s="9">
        <f>IF('DATA ENTRY'!B15="TRUE",2,0)+IF('DATA ENTRY'!B22="TRUE",1,0)+IF('DATA ENTRY'!B36="TRUE",2,0)+IF('DATA ENTRY'!B41="TRUE",1,0)+IF('DATA ENTRY'!B50="TRUE",1,0)+IF('DATA ENTRY'!B54="TRUE",1,0)+IF('DATA ENTRY'!B56="TRUE",1,0)+IF('DATA ENTRY'!B62="TRUE",1,0)+IF('DATA ENTRY'!B67="TRUE",1,0)+IF('DATA ENTRY'!B78="TRUE",2,0)+IF('DATA ENTRY'!B82="TRUE",1,0)+IF('DATA ENTRY'!B89="TRUE",1,0)+IF('DATA ENTRY'!B93="TRUE",1,0)+IF('DATA ENTRY'!F10="TRUE",1,0)+IF('DATA ENTRY'!F14="TRUE",1,0)+IF('DATA ENTRY'!F18="TRUE",1,0)+IF('DATA ENTRY'!F25="TRUE",1,0)+IF('DATA ENTRY'!F27="TRUE",2,0)+IF('DATA ENTRY'!F32="TRUE",1,0)+IF('DATA ENTRY'!F36="TRUE",1,0)+IF('DATA ENTRY'!F40="TRUE",1,0)+IF('DATA ENTRY'!F44="TRUE",1,0)+IF('DATA ENTRY'!F50="TRUE",1,0)+IF('DATA ENTRY'!F54="TRUE",1,0)+IF('DATA ENTRY'!F59="TRUE",1,0)+IF('DATA ENTRY'!F64="TRUE",1,0)+IF('DATA ENTRY'!F66="TRUE",2,0)+IF('DATA ENTRY'!F72="TRUE",1,0)+IF('DATA ENTRY'!F77="TRUE",1,0)+IF('DATA ENTRY'!F81="TRUE",1,0)+IF('DATA ENTRY'!F86="TRUE",1,0)+IF('DATA ENTRY'!F89="TRUE",1,0)+IF('DATA ENTRY'!F93="TRUE",2,0)</f>
        <v/>
      </c>
      <c r="D15" s="9">
        <f>C15*3</f>
        <v/>
      </c>
      <c r="E15" s="9">
        <f>D15</f>
        <v/>
      </c>
      <c r="F15" s="9">
        <f>MIN(115,MAX(0,E15))</f>
        <v/>
      </c>
      <c r="G15" s="9">
        <f>IF(F15&gt;=85,"PROMINENT (Disorder)",IF(F15&gt;=75,"CLINICALLY SIGNIFICANT",IF(F15&gt;=60,"Trait Present","Not Significant")))</f>
        <v/>
      </c>
      <c r="H15" s="9">
        <f>IF(F15&gt;=85,"***",IF(F15&gt;=75,"**",IF(F15&gt;=60,"*","")))</f>
        <v/>
      </c>
    </row>
    <row r="16">
      <c r="A16" s="19" t="inlineStr">
        <is>
          <t>Clinical Personality</t>
        </is>
      </c>
    </row>
    <row r="17">
      <c r="A17" s="20" t="inlineStr">
        <is>
          <t>1</t>
        </is>
      </c>
      <c r="B17" s="21" t="inlineStr">
        <is>
          <t>Schizoid</t>
        </is>
      </c>
      <c r="C17" s="9">
        <f>IF('DATA ENTRY'!B8="TRUE",1,0)+IF('DATA ENTRY'!B28="TRUE",1,0)+IF('DATA ENTRY'!B30="TRUE",2,0)+IF('DATA ENTRY'!B47="TRUE",1,0)+IF('DATA ENTRY'!B51="TRUE",1,0)+IF('DATA ENTRY'!B59="TRUE",1,0)+IF('DATA ENTRY'!B62="TRUE",1,0)+IF('DATA ENTRY'!B63="TRUE",2,0)+IF('DATA ENTRY'!B77="TRUE",1,0)+IF('DATA ENTRY'!B87="TRUE",1,0)+IF('DATA ENTRY'!F16="TRUE",1,0)+IF('DATA ENTRY'!F39="TRUE",1,0)+IF('DATA ENTRY'!F53="TRUE",1,0)+IF('DATA ENTRY'!F65="TRUE",2,0)+IF('DATA ENTRY'!F76="TRUE",1,0)+IF('DATA ENTRY'!F90="TRUE",1,0)</f>
        <v/>
      </c>
      <c r="D17" s="9">
        <f>C17*3</f>
        <v/>
      </c>
      <c r="E17" s="9">
        <f>MIN(115,MAX(0,D17+C49))</f>
        <v/>
      </c>
      <c r="F17" s="9">
        <f>MIN(115,MAX(0,E17))</f>
        <v/>
      </c>
      <c r="G17" s="9">
        <f>IF(F17&gt;=85,"PROMINENT (Disorder)",IF(F17&gt;=75,"CLINICALLY SIGNIFICANT",IF(F17&gt;=60,"Trait Present","Not Significant")))</f>
        <v/>
      </c>
      <c r="H17" s="9">
        <f>IF(F17&gt;=85,"***",IF(F17&gt;=75,"**",IF(F17&gt;=60,"*","")))</f>
        <v/>
      </c>
    </row>
    <row r="18">
      <c r="A18" s="20" t="inlineStr">
        <is>
          <t>2A</t>
        </is>
      </c>
      <c r="B18" s="21" t="inlineStr">
        <is>
          <t>Avoidant</t>
        </is>
      </c>
      <c r="C18" s="9">
        <f>IF('DATA ENTRY'!B8="TRUE",1,0)+IF('DATA ENTRY'!B26="TRUE",1,0)+IF('DATA ENTRY'!B28="TRUE",1,0)+IF('DATA ENTRY'!B47="TRUE",1,0)+IF('DATA ENTRY'!B52="TRUE",2,0)+IF('DATA ENTRY'!B59="TRUE",1,0)+IF('DATA ENTRY'!B62="TRUE",1,0)+IF('DATA ENTRY'!B77="TRUE",1,0)+IF('DATA ENTRY'!B84="TRUE",2,0)+IF('DATA ENTRY'!B87="TRUE",1,0)+IF('DATA ENTRY'!F16="TRUE",1,0)+IF('DATA ENTRY'!F39="TRUE",1,0)+IF('DATA ENTRY'!F53="TRUE",1,0)+IF('DATA ENTRY'!F65="TRUE",2,0)+IF('DATA ENTRY'!F76="TRUE",1,0)+IF('DATA ENTRY'!F90="TRUE",1,0)</f>
        <v/>
      </c>
      <c r="D18" s="9">
        <f>C18*3</f>
        <v/>
      </c>
      <c r="E18" s="9">
        <f>MIN(115,MAX(0,D18+C49))</f>
        <v/>
      </c>
      <c r="F18" s="9">
        <f>MIN(115,MAX(0,E18))</f>
        <v/>
      </c>
      <c r="G18" s="9">
        <f>IF(F18&gt;=85,"PROMINENT (Disorder)",IF(F18&gt;=75,"CLINICALLY SIGNIFICANT",IF(F18&gt;=60,"Trait Present","Not Significant")))</f>
        <v/>
      </c>
      <c r="H18" s="9">
        <f>IF(F18&gt;=85,"***",IF(F18&gt;=75,"**",IF(F18&gt;=60,"*","")))</f>
        <v/>
      </c>
    </row>
    <row r="19">
      <c r="A19" s="20" t="inlineStr">
        <is>
          <t>2B</t>
        </is>
      </c>
      <c r="B19" s="21" t="inlineStr">
        <is>
          <t>Depressive</t>
        </is>
      </c>
      <c r="C19" s="9">
        <f>IF('DATA ENTRY'!B8="TRUE",1,0)+IF('DATA ENTRY'!B26="TRUE",2,0)+IF('DATA ENTRY'!B28="TRUE",1,0)+IF('DATA ENTRY'!B47="TRUE",1,0)+IF('DATA ENTRY'!B56="TRUE",2,0)+IF('DATA ENTRY'!B59="TRUE",1,0)+IF('DATA ENTRY'!B62="TRUE",1,0)+IF('DATA ENTRY'!B77="TRUE",1,0)+IF('DATA ENTRY'!B87="TRUE",1,0)+IF('DATA ENTRY'!F16="TRUE",1,0)+IF('DATA ENTRY'!F39="TRUE",1,0)+IF('DATA ENTRY'!F48="TRUE",2,0)+IF('DATA ENTRY'!F53="TRUE",1,0)+IF('DATA ENTRY'!F76="TRUE",1,0)+IF('DATA ENTRY'!F90="TRUE",1,0)</f>
        <v/>
      </c>
      <c r="D19" s="9">
        <f>C19*3</f>
        <v/>
      </c>
      <c r="E19" s="9">
        <f>MIN(115,MAX(0,D19+C49))</f>
        <v/>
      </c>
      <c r="F19" s="9">
        <f>MIN(115,MAX(0,E19))</f>
        <v/>
      </c>
      <c r="G19" s="9">
        <f>IF(F19&gt;=85,"PROMINENT (Disorder)",IF(F19&gt;=75,"CLINICALLY SIGNIFICANT",IF(F19&gt;=60,"Trait Present","Not Significant")))</f>
        <v/>
      </c>
      <c r="H19" s="9">
        <f>IF(F19&gt;=85,"***",IF(F19&gt;=75,"**",IF(F19&gt;=60,"*","")))</f>
        <v/>
      </c>
    </row>
    <row r="20">
      <c r="A20" s="20" t="inlineStr">
        <is>
          <t>3</t>
        </is>
      </c>
      <c r="B20" s="21" t="inlineStr">
        <is>
          <t>Dependent</t>
        </is>
      </c>
      <c r="C20" s="9">
        <f>IF('DATA ENTRY'!B9="TRUE",2,0)+IF('DATA ENTRY'!B11="TRUE",1,0)+IF('DATA ENTRY'!B21="TRUE",1,0)+IF('DATA ENTRY'!B25="TRUE",2,0)+IF('DATA ENTRY'!B28="TRUE",1,0)+IF('DATA ENTRY'!B39="TRUE",1,0)+IF('DATA ENTRY'!B45="TRUE",2,0)+IF('DATA ENTRY'!B51="TRUE",1,0)+IF('DATA ENTRY'!B66="TRUE",1,0)+IF('DATA ENTRY'!B76="TRUE",1,0)+IF('DATA ENTRY'!B81="TRUE",1,0)+IF('DATA ENTRY'!B86="TRUE",1,0)+IF('DATA ENTRY'!B92="TRUE",1,0)+IF('DATA ENTRY'!F9="TRUE",1,0)+IF('DATA ENTRY'!F37="TRUE",1,0)+IF('DATA ENTRY'!F43="TRUE",1,0)+IF('DATA ENTRY'!F78="TRUE",1,0)+IF('DATA ENTRY'!F84="TRUE",1,0)+IF('DATA ENTRY'!F87="TRUE",1,0)</f>
        <v/>
      </c>
      <c r="D20" s="9">
        <f>C20*3</f>
        <v/>
      </c>
      <c r="E20" s="9">
        <f>MIN(115,MAX(0,D20+C49))</f>
        <v/>
      </c>
      <c r="F20" s="9">
        <f>MIN(115,MAX(0,E20))</f>
        <v/>
      </c>
      <c r="G20" s="9">
        <f>IF(F20&gt;=85,"PROMINENT (Disorder)",IF(F20&gt;=75,"CLINICALLY SIGNIFICANT",IF(F20&gt;=60,"Trait Present","Not Significant")))</f>
        <v/>
      </c>
      <c r="H20" s="9">
        <f>IF(F20&gt;=85,"***",IF(F20&gt;=75,"**",IF(F20&gt;=60,"*","")))</f>
        <v/>
      </c>
    </row>
    <row r="21">
      <c r="A21" s="20" t="inlineStr">
        <is>
          <t>4</t>
        </is>
      </c>
      <c r="B21" s="21" t="inlineStr">
        <is>
          <t>Histrionic</t>
        </is>
      </c>
      <c r="C21" s="9">
        <f>IF('DATA ENTRY'!B13="TRUE",1,0)+IF('DATA ENTRY'!B20="TRUE",1,0)+IF('DATA ENTRY'!B32="TRUE",1,0)+IF('DATA ENTRY'!B38="TRUE",1,0)+IF('DATA ENTRY'!B43="TRUE",2,0)+IF('DATA ENTRY'!B46="TRUE",1,0)+IF('DATA ENTRY'!B48="TRUE",1,0)+IF('DATA ENTRY'!B63="TRUE",1,0)+IF('DATA ENTRY'!B72="TRUE",1,0)+IF('DATA ENTRY'!B84="TRUE",1,0)+IF('DATA ENTRY'!B94="TRUE",1,0)+IF('DATA ENTRY'!F11="TRUE",1,0)+IF('DATA ENTRY'!F13="TRUE",2,0)+IF('DATA ENTRY'!F21="TRUE",1,0)+IF('DATA ENTRY'!F24="TRUE",1,0)+IF('DATA ENTRY'!F29="TRUE",1,0)+IF('DATA ENTRY'!F49="TRUE",1,0)+IF('DATA ENTRY'!F73="TRUE",2,0)+IF('DATA ENTRY'!F82="TRUE",1,0)</f>
        <v/>
      </c>
      <c r="D21" s="9">
        <f>C21*3</f>
        <v/>
      </c>
      <c r="E21" s="9">
        <f>MIN(115,MAX(0,D21+C49))</f>
        <v/>
      </c>
      <c r="F21" s="9">
        <f>MIN(115,MAX(0,E21))</f>
        <v/>
      </c>
      <c r="G21" s="9">
        <f>IF(F21&gt;=85,"PROMINENT (Disorder)",IF(F21&gt;=75,"CLINICALLY SIGNIFICANT",IF(F21&gt;=60,"Trait Present","Not Significant")))</f>
        <v/>
      </c>
      <c r="H21" s="9">
        <f>IF(F21&gt;=85,"***",IF(F21&gt;=75,"**",IF(F21&gt;=60,"*","")))</f>
        <v/>
      </c>
    </row>
    <row r="22">
      <c r="A22" s="20" t="inlineStr">
        <is>
          <t>5</t>
        </is>
      </c>
      <c r="B22" s="21" t="inlineStr">
        <is>
          <t>Narcissistic</t>
        </is>
      </c>
      <c r="C22" s="9">
        <f>IF('DATA ENTRY'!B7="TRUE",1,0)+IF('DATA ENTRY'!B13="TRUE",1,0)+IF('DATA ENTRY'!B20="TRUE",1,0)+IF('DATA ENTRY'!B32="TRUE",1,0)+IF('DATA ENTRY'!B38="TRUE",1,0)+IF('DATA ENTRY'!B43="TRUE",2,0)+IF('DATA ENTRY'!B46="TRUE",1,0)+IF('DATA ENTRY'!B48="TRUE",1,0)+IF('DATA ENTRY'!B63="TRUE",1,0)+IF('DATA ENTRY'!B69="TRUE",1,0)+IF('DATA ENTRY'!B72="TRUE",1,0)+IF('DATA ENTRY'!B73="TRUE",2,0)+IF('DATA ENTRY'!B84="TRUE",1,0)+IF('DATA ENTRY'!B91="TRUE",1,0)+IF('DATA ENTRY'!B94="TRUE",1,0)+IF('DATA ENTRY'!F11="TRUE",1,0)+IF('DATA ENTRY'!F21="TRUE",1,0)+IF('DATA ENTRY'!F29="TRUE",1,0)+IF('DATA ENTRY'!F35="TRUE",2,0)+IF('DATA ENTRY'!F49="TRUE",1,0)+IF('DATA ENTRY'!F58="TRUE",1,0)+IF('DATA ENTRY'!F63="TRUE",1,0)+IF('DATA ENTRY'!F73="TRUE",1,0)+IF('DATA ENTRY'!F82="TRUE",1,0)</f>
        <v/>
      </c>
      <c r="D22" s="9">
        <f>C22*3</f>
        <v/>
      </c>
      <c r="E22" s="9">
        <f>MIN(115,MAX(0,D22+C49))</f>
        <v/>
      </c>
      <c r="F22" s="9">
        <f>MIN(115,MAX(0,E22))</f>
        <v/>
      </c>
      <c r="G22" s="9">
        <f>IF(F22&gt;=85,"PROMINENT (Disorder)",IF(F22&gt;=75,"CLINICALLY SIGNIFICANT",IF(F22&gt;=60,"Trait Present","Not Significant")))</f>
        <v/>
      </c>
      <c r="H22" s="9">
        <f>IF(F22&gt;=85,"***",IF(F22&gt;=75,"**",IF(F22&gt;=60,"*","")))</f>
        <v/>
      </c>
    </row>
    <row r="23">
      <c r="A23" s="20" t="inlineStr">
        <is>
          <t>6A</t>
        </is>
      </c>
      <c r="B23" s="21" t="inlineStr">
        <is>
          <t>Antisocial</t>
        </is>
      </c>
      <c r="C23" s="9">
        <f>IF('DATA ENTRY'!B12="TRUE",1,0)+IF('DATA ENTRY'!B18="TRUE",1,0)+IF('DATA ENTRY'!B20="TRUE",1,0)+IF('DATA ENTRY'!B34="TRUE",1,0)+IF('DATA ENTRY'!B38="TRUE",1,0)+IF('DATA ENTRY'!B40="TRUE",2,0)+IF('DATA ENTRY'!B46="TRUE",1,0)+IF('DATA ENTRY'!B53="TRUE",2,0)+IF('DATA ENTRY'!B64="TRUE",1,0)+IF('DATA ENTRY'!B69="TRUE",1,0)+IF('DATA ENTRY'!B72="TRUE",1,0)+IF('DATA ENTRY'!B83="TRUE",1,0)+IF('DATA ENTRY'!B91="TRUE",1,0)+IF('DATA ENTRY'!F11="TRUE",1,0)+IF('DATA ENTRY'!F22="TRUE",2,0)+IF('DATA ENTRY'!F29="TRUE",1,0)+IF('DATA ENTRY'!F49="TRUE",1,0)+IF('DATA ENTRY'!F73="TRUE",1,0)+IF('DATA ENTRY'!F82="TRUE",1,0)</f>
        <v/>
      </c>
      <c r="D23" s="9">
        <f>C23*3</f>
        <v/>
      </c>
      <c r="E23" s="9">
        <f>MIN(115,MAX(0,D23+C49))</f>
        <v/>
      </c>
      <c r="F23" s="9">
        <f>MIN(115,MAX(0,E23))</f>
        <v/>
      </c>
      <c r="G23" s="9">
        <f>IF(F23&gt;=85,"PROMINENT (Disorder)",IF(F23&gt;=75,"CLINICALLY SIGNIFICANT",IF(F23&gt;=60,"Trait Present","Not Significant")))</f>
        <v/>
      </c>
      <c r="H23" s="9">
        <f>IF(F23&gt;=85,"***",IF(F23&gt;=75,"**",IF(F23&gt;=60,"*","")))</f>
        <v/>
      </c>
    </row>
    <row r="24">
      <c r="A24" s="20" t="inlineStr">
        <is>
          <t>6B</t>
        </is>
      </c>
      <c r="B24" s="21" t="inlineStr">
        <is>
          <t>Aggressive (Sadistic)</t>
        </is>
      </c>
      <c r="C24" s="9">
        <f>IF('DATA ENTRY'!B12="TRUE",1,0)+IF('DATA ENTRY'!B18="TRUE",1,0)+IF('DATA ENTRY'!B23="TRUE",2,0)+IF('DATA ENTRY'!B34="TRUE",1,0)+IF('DATA ENTRY'!B38="TRUE",1,0)+IF('DATA ENTRY'!B40="TRUE",1,0)+IF('DATA ENTRY'!B53="TRUE",1,0)+IF('DATA ENTRY'!B64="TRUE",1,0)+IF('DATA ENTRY'!B69="TRUE",1,0)+IF('DATA ENTRY'!B72="TRUE",1,0)+IF('DATA ENTRY'!B73="TRUE",2,0)+IF('DATA ENTRY'!B83="TRUE",1,0)+IF('DATA ENTRY'!B91="TRUE",1,0)+IF('DATA ENTRY'!F11="TRUE",1,0)+IF('DATA ENTRY'!F22="TRUE",1,0)+IF('DATA ENTRY'!F29="TRUE",1,0)+IF('DATA ENTRY'!F35="TRUE",2,0)+IF('DATA ENTRY'!F49="TRUE",1,0)+IF('DATA ENTRY'!F73="TRUE",1,0)+IF('DATA ENTRY'!F82="TRUE",1,0)</f>
        <v/>
      </c>
      <c r="D24" s="9">
        <f>C24*3</f>
        <v/>
      </c>
      <c r="E24" s="9">
        <f>MIN(115,MAX(0,D24+C49))</f>
        <v/>
      </c>
      <c r="F24" s="9">
        <f>MIN(115,MAX(0,E24))</f>
        <v/>
      </c>
      <c r="G24" s="9">
        <f>IF(F24&gt;=85,"PROMINENT (Disorder)",IF(F24&gt;=75,"CLINICALLY SIGNIFICANT",IF(F24&gt;=60,"Trait Present","Not Significant")))</f>
        <v/>
      </c>
      <c r="H24" s="9">
        <f>IF(F24&gt;=85,"***",IF(F24&gt;=75,"**",IF(F24&gt;=60,"*","")))</f>
        <v/>
      </c>
    </row>
    <row r="25">
      <c r="A25" s="20" t="inlineStr">
        <is>
          <t>7</t>
        </is>
      </c>
      <c r="B25" s="21" t="inlineStr">
        <is>
          <t>Compulsive</t>
        </is>
      </c>
      <c r="C25" s="9">
        <f>IF('DATA ENTRY'!B10="TRUE",1,0)+IF('DATA ENTRY'!B13="TRUE",1,0)+IF('DATA ENTRY'!B32="TRUE",1,0)+IF('DATA ENTRY'!B38="TRUE",1,0)+IF('DATA ENTRY'!B43="TRUE",1,0)+IF('DATA ENTRY'!B46="TRUE",1,0)+IF('DATA ENTRY'!B63="TRUE",1,0)+IF('DATA ENTRY'!B69="TRUE",1,0)+IF('DATA ENTRY'!B74="TRUE",1,0)+IF('DATA ENTRY'!B80="TRUE",1,0)+IF('DATA ENTRY'!B88="TRUE",1,0)+IF('DATA ENTRY'!B94="TRUE",1,0)+IF('DATA ENTRY'!F13="TRUE",1,0)+IF('DATA ENTRY'!F17="TRUE",2,0)+IF('DATA ENTRY'!F21="TRUE",1,0)+IF('DATA ENTRY'!F51="TRUE",1,0)+IF('DATA ENTRY'!F58="TRUE",2,0)+IF('DATA ENTRY'!F63="TRUE",1,0)+IF('DATA ENTRY'!F80="TRUE",2,0)+IF('DATA ENTRY'!F82="TRUE",1,0)</f>
        <v/>
      </c>
      <c r="D25" s="9">
        <f>C25*3</f>
        <v/>
      </c>
      <c r="E25" s="9">
        <f>MIN(115,MAX(0,D25+C49))</f>
        <v/>
      </c>
      <c r="F25" s="9">
        <f>MIN(115,MAX(0,E25))</f>
        <v/>
      </c>
      <c r="G25" s="9">
        <f>IF(F25&gt;=85,"PROMINENT (Disorder)",IF(F25&gt;=75,"CLINICALLY SIGNIFICANT",IF(F25&gt;=60,"Trait Present","Not Significant")))</f>
        <v/>
      </c>
      <c r="H25" s="9">
        <f>IF(F25&gt;=85,"***",IF(F25&gt;=75,"**",IF(F25&gt;=60,"*","")))</f>
        <v/>
      </c>
    </row>
    <row r="26">
      <c r="A26" s="20" t="inlineStr">
        <is>
          <t>8A</t>
        </is>
      </c>
      <c r="B26" s="21" t="inlineStr">
        <is>
          <t>Negativistic</t>
        </is>
      </c>
      <c r="C26" s="9">
        <f>IF('DATA ENTRY'!B11="TRUE",1,0)+IF('DATA ENTRY'!B16="TRUE",2,0)+IF('DATA ENTRY'!B21="TRUE",1,0)+IF('DATA ENTRY'!B26="TRUE",1,0)+IF('DATA ENTRY'!B39="TRUE",1,0)+IF('DATA ENTRY'!B45="TRUE",2,0)+IF('DATA ENTRY'!B52="TRUE",1,0)+IF('DATA ENTRY'!B66="TRUE",1,0)+IF('DATA ENTRY'!B76="TRUE",1,0)+IF('DATA ENTRY'!B81="TRUE",1,0)+IF('DATA ENTRY'!B86="TRUE",1,0)+IF('DATA ENTRY'!B92="TRUE",1,0)+IF('DATA ENTRY'!F9="TRUE",1,0)+IF('DATA ENTRY'!F37="TRUE",1,0)+IF('DATA ENTRY'!F43="TRUE",1,0)+IF('DATA ENTRY'!F78="TRUE",1,0)+IF('DATA ENTRY'!F83="TRUE",2,0)+IF('DATA ENTRY'!F84="TRUE",1,0)+IF('DATA ENTRY'!F87="TRUE",1,0)</f>
        <v/>
      </c>
      <c r="D26" s="9">
        <f>C26*3</f>
        <v/>
      </c>
      <c r="E26" s="9">
        <f>MIN(115,MAX(0,D26+C49))</f>
        <v/>
      </c>
      <c r="F26" s="9">
        <f>MIN(115,MAX(0,E26))</f>
        <v/>
      </c>
      <c r="G26" s="9">
        <f>IF(F26&gt;=85,"PROMINENT (Disorder)",IF(F26&gt;=75,"CLINICALLY SIGNIFICANT",IF(F26&gt;=60,"Trait Present","Not Significant")))</f>
        <v/>
      </c>
      <c r="H26" s="9">
        <f>IF(F26&gt;=85,"***",IF(F26&gt;=75,"**",IF(F26&gt;=60,"*","")))</f>
        <v/>
      </c>
    </row>
    <row r="27">
      <c r="A27" s="20" t="inlineStr">
        <is>
          <t>8B</t>
        </is>
      </c>
      <c r="B27" s="21" t="inlineStr">
        <is>
          <t>Masochistic</t>
        </is>
      </c>
      <c r="C27" s="9">
        <f>IF('DATA ENTRY'!B11="TRUE",1,0)+IF('DATA ENTRY'!B21="TRUE",1,0)+IF('DATA ENTRY'!B26="TRUE",1,0)+IF('DATA ENTRY'!B31="TRUE",2,0)+IF('DATA ENTRY'!B39="TRUE",1,0)+IF('DATA ENTRY'!B52="TRUE",1,0)+IF('DATA ENTRY'!B55="TRUE",2,0)+IF('DATA ENTRY'!B66="TRUE",1,0)+IF('DATA ENTRY'!B76="TRUE",1,0)+IF('DATA ENTRY'!B81="TRUE",1,0)+IF('DATA ENTRY'!B86="TRUE",1,0)+IF('DATA ENTRY'!B92="TRUE",1,0)+IF('DATA ENTRY'!F9="TRUE",1,0)+IF('DATA ENTRY'!F37="TRUE",1,0)+IF('DATA ENTRY'!F43="TRUE",1,0)+IF('DATA ENTRY'!F68="TRUE",2,0)+IF('DATA ENTRY'!F78="TRUE",1,0)+IF('DATA ENTRY'!F87="TRUE",1,0)</f>
        <v/>
      </c>
      <c r="D27" s="9">
        <f>C27*3</f>
        <v/>
      </c>
      <c r="E27" s="9">
        <f>MIN(115,MAX(0,D27+C49))</f>
        <v/>
      </c>
      <c r="F27" s="9">
        <f>MIN(115,MAX(0,E27))</f>
        <v/>
      </c>
      <c r="G27" s="9">
        <f>IF(F27&gt;=85,"PROMINENT (Disorder)",IF(F27&gt;=75,"CLINICALLY SIGNIFICANT",IF(F27&gt;=60,"Trait Present","Not Significant")))</f>
        <v/>
      </c>
      <c r="H27" s="9">
        <f>IF(F27&gt;=85,"***",IF(F27&gt;=75,"**",IF(F27&gt;=60,"*","")))</f>
        <v/>
      </c>
    </row>
    <row r="28">
      <c r="A28" s="19" t="inlineStr">
        <is>
          <t>Severe Personality</t>
        </is>
      </c>
    </row>
    <row r="29">
      <c r="A29" s="20" t="inlineStr">
        <is>
          <t>S</t>
        </is>
      </c>
      <c r="B29" s="21" t="inlineStr">
        <is>
          <t>Schizotypal</t>
        </is>
      </c>
      <c r="C29" s="9">
        <f>IF('DATA ENTRY'!B8="TRUE",1,0)+IF('DATA ENTRY'!B26="TRUE",1,0)+IF('DATA ENTRY'!B28="TRUE",1,0)+IF('DATA ENTRY'!B30="TRUE",2,0)+IF('DATA ENTRY'!B47="TRUE",1,0)+IF('DATA ENTRY'!B52="TRUE",1,0)+IF('DATA ENTRY'!B59="TRUE",1,0)+IF('DATA ENTRY'!B62="TRUE",1,0)+IF('DATA ENTRY'!B63="TRUE",2,0)+IF('DATA ENTRY'!B77="TRUE",1,0)+IF('DATA ENTRY'!B84="TRUE",1,0)+IF('DATA ENTRY'!B87="TRUE",1,0)+IF('DATA ENTRY'!F16="TRUE",1,0)+IF('DATA ENTRY'!F39="TRUE",1,0)+IF('DATA ENTRY'!F53="TRUE",1,0)+IF('DATA ENTRY'!F65="TRUE",2,0)+IF('DATA ENTRY'!F76="TRUE",1,0)+IF('DATA ENTRY'!F90="TRUE",1,0)</f>
        <v/>
      </c>
      <c r="D29" s="9">
        <f>C29*3</f>
        <v/>
      </c>
      <c r="E29" s="9">
        <f>MIN(115,MAX(0,D29+C50))</f>
        <v/>
      </c>
      <c r="F29" s="9">
        <f>MIN(115,MAX(0,E29))</f>
        <v/>
      </c>
      <c r="G29" s="9">
        <f>IF(F29&gt;=85,"PROMINENT (Disorder)",IF(F29&gt;=75,"CLINICALLY SIGNIFICANT",IF(F29&gt;=60,"Trait Present","Not Significant")))</f>
        <v/>
      </c>
      <c r="H29" s="9">
        <f>IF(F29&gt;=85,"***",IF(F29&gt;=75,"**",IF(F29&gt;=60,"*","")))</f>
        <v/>
      </c>
    </row>
    <row r="30">
      <c r="A30" s="20" t="inlineStr">
        <is>
          <t>C</t>
        </is>
      </c>
      <c r="B30" s="21" t="inlineStr">
        <is>
          <t>Borderline</t>
        </is>
      </c>
      <c r="C30" s="9">
        <f>IF('DATA ENTRY'!B11="TRUE",1,0)+IF('DATA ENTRY'!B16="TRUE",1,0)+IF('DATA ENTRY'!B21="TRUE",1,0)+IF('DATA ENTRY'!B26="TRUE",1,0)+IF('DATA ENTRY'!B31="TRUE",2,0)+IF('DATA ENTRY'!B39="TRUE",1,0)+IF('DATA ENTRY'!B45="TRUE",1,0)+IF('DATA ENTRY'!B52="TRUE",1,0)+IF('DATA ENTRY'!B55="TRUE",2,0)+IF('DATA ENTRY'!B66="TRUE",1,0)+IF('DATA ENTRY'!B76="TRUE",1,0)+IF('DATA ENTRY'!B81="TRUE",1,0)+IF('DATA ENTRY'!B86="TRUE",1,0)+IF('DATA ENTRY'!B92="TRUE",1,0)+IF('DATA ENTRY'!F9="TRUE",1,0)+IF('DATA ENTRY'!F37="TRUE",1,0)+IF('DATA ENTRY'!F43="TRUE",1,0)+IF('DATA ENTRY'!F78="TRUE",1,0)+IF('DATA ENTRY'!F83="TRUE",2,0)</f>
        <v/>
      </c>
      <c r="D30" s="9">
        <f>C30*3</f>
        <v/>
      </c>
      <c r="E30" s="9">
        <f>MIN(115,MAX(0,D30+C50))</f>
        <v/>
      </c>
      <c r="F30" s="9">
        <f>MIN(115,MAX(0,E30))</f>
        <v/>
      </c>
      <c r="G30" s="9">
        <f>IF(F30&gt;=85,"PROMINENT (Disorder)",IF(F30&gt;=75,"CLINICALLY SIGNIFICANT",IF(F30&gt;=60,"Trait Present","Not Significant")))</f>
        <v/>
      </c>
      <c r="H30" s="9">
        <f>IF(F30&gt;=85,"***",IF(F30&gt;=75,"**",IF(F30&gt;=60,"*","")))</f>
        <v/>
      </c>
    </row>
    <row r="31">
      <c r="A31" s="20" t="inlineStr">
        <is>
          <t>P</t>
        </is>
      </c>
      <c r="B31" s="21" t="inlineStr">
        <is>
          <t>Paranoid</t>
        </is>
      </c>
      <c r="C31" s="9">
        <f>IF('DATA ENTRY'!B12="TRUE",1,0)+IF('DATA ENTRY'!B14="TRUE",2,0)+IF('DATA ENTRY'!B18="TRUE",1,0)+IF('DATA ENTRY'!B23="TRUE",1,0)+IF('DATA ENTRY'!B34="TRUE",1,0)+IF('DATA ENTRY'!B35="TRUE",2,0)+IF('DATA ENTRY'!B38="TRUE",1,0)+IF('DATA ENTRY'!B40="TRUE",1,0)+IF('DATA ENTRY'!B53="TRUE",1,0)+IF('DATA ENTRY'!B64="TRUE",1,0)+IF('DATA ENTRY'!B69="TRUE",1,0)+IF('DATA ENTRY'!B73="TRUE",1,0)+IF('DATA ENTRY'!B83="TRUE",1,0)+IF('DATA ENTRY'!B91="TRUE",1,0)+IF('DATA ENTRY'!F11="TRUE",1,0)+IF('DATA ENTRY'!F22="TRUE",1,0)+IF('DATA ENTRY'!F29="TRUE",1,0)+IF('DATA ENTRY'!F35="TRUE",1,0)+IF('DATA ENTRY'!F61="TRUE",2,0)+IF('DATA ENTRY'!F73="TRUE",1,0)</f>
        <v/>
      </c>
      <c r="D31" s="9">
        <f>C31*3</f>
        <v/>
      </c>
      <c r="E31" s="9">
        <f>MIN(115,MAX(0,D31+C50))</f>
        <v/>
      </c>
      <c r="F31" s="9">
        <f>MIN(115,MAX(0,E31))</f>
        <v/>
      </c>
      <c r="G31" s="9">
        <f>IF(F31&gt;=85,"PROMINENT (Disorder)",IF(F31&gt;=75,"CLINICALLY SIGNIFICANT",IF(F31&gt;=60,"Trait Present","Not Significant")))</f>
        <v/>
      </c>
      <c r="H31" s="9">
        <f>IF(F31&gt;=85,"***",IF(F31&gt;=75,"**",IF(F31&gt;=60,"*","")))</f>
        <v/>
      </c>
    </row>
    <row r="32">
      <c r="A32" s="19" t="inlineStr">
        <is>
          <t>Clinical Syndrome</t>
        </is>
      </c>
    </row>
    <row r="33">
      <c r="A33" s="20" t="inlineStr">
        <is>
          <t>A</t>
        </is>
      </c>
      <c r="B33" s="21" t="inlineStr">
        <is>
          <t>Anxiety</t>
        </is>
      </c>
      <c r="C33" s="9">
        <f>IF('DATA ENTRY'!B22="TRUE",1,0)+IF('DATA ENTRY'!B41="TRUE",1,0)+IF('DATA ENTRY'!B50="TRUE",2,0)+IF('DATA ENTRY'!B54="TRUE",1,0)+IF('DATA ENTRY'!B62="TRUE",1,0)+IF('DATA ENTRY'!B89="TRUE",1,0)+IF('DATA ENTRY'!B93="TRUE",1,0)+IF('DATA ENTRY'!F10="TRUE",1,0)+IF('DATA ENTRY'!F25="TRUE",1,0)+IF('DATA ENTRY'!F32="TRUE",1,0)+IF('DATA ENTRY'!F36="TRUE",2,0)+IF('DATA ENTRY'!F40="TRUE",1,0)+IF('DATA ENTRY'!F54="TRUE",1,0)+IF('DATA ENTRY'!F72="TRUE",1,0)+IF('DATA ENTRY'!F81="TRUE",1,0)</f>
        <v/>
      </c>
      <c r="D33" s="9">
        <f>C33*3</f>
        <v/>
      </c>
      <c r="E33" s="9">
        <f>MIN(115,MAX(0,D33+C50))</f>
        <v/>
      </c>
      <c r="F33" s="9">
        <f>MIN(115,MAX(0,E33))</f>
        <v/>
      </c>
      <c r="G33" s="9">
        <f>IF(F33&gt;=85,"PROMINENT (Disorder)",IF(F33&gt;=75,"CLINICALLY SIGNIFICANT",IF(F33&gt;=60,"Trait Present","Not Significant")))</f>
        <v/>
      </c>
      <c r="H33" s="9">
        <f>IF(F33&gt;=85,"***",IF(F33&gt;=75,"**",IF(F33&gt;=60,"*","")))</f>
        <v/>
      </c>
    </row>
    <row r="34">
      <c r="A34" s="20" t="inlineStr">
        <is>
          <t>H</t>
        </is>
      </c>
      <c r="B34" s="21" t="inlineStr">
        <is>
          <t>Somatoform</t>
        </is>
      </c>
      <c r="C34" s="9">
        <f>IF('DATA ENTRY'!B22="TRUE",1,0)+IF('DATA ENTRY'!B41="TRUE",1,0)+IF('DATA ENTRY'!B54="TRUE",1,0)+IF('DATA ENTRY'!B67="TRUE",1,0)+IF('DATA ENTRY'!B82="TRUE",2,0)+IF('DATA ENTRY'!B93="TRUE",1,0)+IF('DATA ENTRY'!F10="TRUE",1,0)+IF('DATA ENTRY'!F18="TRUE",1,0)+IF('DATA ENTRY'!F25="TRUE",1,0)+IF('DATA ENTRY'!F32="TRUE",1,0)+IF('DATA ENTRY'!F50="TRUE",2,0)+IF('DATA ENTRY'!F54="TRUE",1,0)+IF('DATA ENTRY'!F81="TRUE",1,0)</f>
        <v/>
      </c>
      <c r="D34" s="9">
        <f>C34*3</f>
        <v/>
      </c>
      <c r="E34" s="9">
        <f>MIN(115,MAX(0,D34+C50))</f>
        <v/>
      </c>
      <c r="F34" s="9">
        <f>MIN(115,MAX(0,E34))</f>
        <v/>
      </c>
      <c r="G34" s="9">
        <f>IF(F34&gt;=85,"PROMINENT (Disorder)",IF(F34&gt;=75,"CLINICALLY SIGNIFICANT",IF(F34&gt;=60,"Trait Present","Not Significant")))</f>
        <v/>
      </c>
      <c r="H34" s="9">
        <f>IF(F34&gt;=85,"***",IF(F34&gt;=75,"**",IF(F34&gt;=60,"*","")))</f>
        <v/>
      </c>
    </row>
    <row r="35">
      <c r="A35" s="20" t="inlineStr">
        <is>
          <t>N</t>
        </is>
      </c>
      <c r="B35" s="21" t="inlineStr">
        <is>
          <t>Bipolar: Manic</t>
        </is>
      </c>
      <c r="C35" s="9">
        <f>IF('DATA ENTRY'!B12="TRUE",1,0)+IF('DATA ENTRY'!B18="TRUE",1,0)+IF('DATA ENTRY'!B20="TRUE",1,0)+IF('DATA ENTRY'!B34="TRUE",1,0)+IF('DATA ENTRY'!B38="TRUE",1,0)+IF('DATA ENTRY'!B40="TRUE",1,0)+IF('DATA ENTRY'!B43="TRUE",2,0)+IF('DATA ENTRY'!B53="TRUE",1,0)+IF('DATA ENTRY'!B64="TRUE",1,0)+IF('DATA ENTRY'!B69="TRUE",1,0)+IF('DATA ENTRY'!B83="TRUE",1,0)+IF('DATA ENTRY'!B91="TRUE",1,0)+IF('DATA ENTRY'!F13="TRUE",2,0)</f>
        <v/>
      </c>
      <c r="D35" s="9">
        <f>C35*3</f>
        <v/>
      </c>
      <c r="E35" s="9">
        <f>MIN(115,MAX(0,D35+C50))</f>
        <v/>
      </c>
      <c r="F35" s="9">
        <f>MIN(115,MAX(0,E35))</f>
        <v/>
      </c>
      <c r="G35" s="9">
        <f>IF(F35&gt;=85,"PROMINENT (Disorder)",IF(F35&gt;=75,"CLINICALLY SIGNIFICANT",IF(F35&gt;=60,"Trait Present","Not Significant")))</f>
        <v/>
      </c>
      <c r="H35" s="9">
        <f>IF(F35&gt;=85,"***",IF(F35&gt;=75,"**",IF(F35&gt;=60,"*","")))</f>
        <v/>
      </c>
    </row>
    <row r="36">
      <c r="A36" s="20" t="inlineStr">
        <is>
          <t>D</t>
        </is>
      </c>
      <c r="B36" s="21" t="inlineStr">
        <is>
          <t>Dysthymia</t>
        </is>
      </c>
      <c r="C36" s="9">
        <f>IF('DATA ENTRY'!B22="TRUE",1,0)+IF('DATA ENTRY'!B41="TRUE",1,0)+IF('DATA ENTRY'!B50="TRUE",1,0)+IF('DATA ENTRY'!B54="TRUE",1,0)+IF('DATA ENTRY'!B56="TRUE",2,0)+IF('DATA ENTRY'!B62="TRUE",1,0)+IF('DATA ENTRY'!B89="TRUE",1,0)+IF('DATA ENTRY'!B93="TRUE",1,0)+IF('DATA ENTRY'!F10="TRUE",1,0)+IF('DATA ENTRY'!F14="TRUE",1,0)+IF('DATA ENTRY'!F25="TRUE",1,0)+IF('DATA ENTRY'!F40="TRUE",1,0)+IF('DATA ENTRY'!F48="TRUE",2,0)+IF('DATA ENTRY'!F54="TRUE",1,0)+IF('DATA ENTRY'!F81="TRUE",1,0)</f>
        <v/>
      </c>
      <c r="D36" s="9">
        <f>C36*3</f>
        <v/>
      </c>
      <c r="E36" s="9">
        <f>MIN(115,MAX(0,D36+C50))</f>
        <v/>
      </c>
      <c r="F36" s="9">
        <f>MIN(115,MAX(0,E36))</f>
        <v/>
      </c>
      <c r="G36" s="9">
        <f>IF(F36&gt;=85,"PROMINENT (Disorder)",IF(F36&gt;=75,"CLINICALLY SIGNIFICANT",IF(F36&gt;=60,"Trait Present","Not Significant")))</f>
        <v/>
      </c>
      <c r="H36" s="9">
        <f>IF(F36&gt;=85,"***",IF(F36&gt;=75,"**",IF(F36&gt;=60,"*","")))</f>
        <v/>
      </c>
    </row>
    <row r="37">
      <c r="A37" s="20" t="inlineStr">
        <is>
          <t>B</t>
        </is>
      </c>
      <c r="B37" s="21" t="inlineStr">
        <is>
          <t>Alcohol Dependence</t>
        </is>
      </c>
      <c r="C37" s="9">
        <f>IF('DATA ENTRY'!B12="TRUE",1,0)+IF('DATA ENTRY'!B18="TRUE",1,0)+IF('DATA ENTRY'!B34="TRUE",1,0)+IF('DATA ENTRY'!B40="TRUE",1,0)+IF('DATA ENTRY'!B53="TRUE",1,0)+IF('DATA ENTRY'!B58="TRUE",2,0)+IF('DATA ENTRY'!B64="TRUE",1,0)+IF('DATA ENTRY'!B69="TRUE",1,0)+IF('DATA ENTRY'!B83="TRUE",1,0)+IF('DATA ENTRY'!B91="TRUE",1,0)+IF('DATA ENTRY'!F22="TRUE",1,0)+IF('DATA ENTRY'!F29="TRUE",1,0)+IF('DATA ENTRY'!F47="TRUE",2,0)+IF('DATA ENTRY'!F49="TRUE",1,0)+IF('DATA ENTRY'!F73="TRUE",1,0)</f>
        <v/>
      </c>
      <c r="D37" s="9">
        <f>C37*3</f>
        <v/>
      </c>
      <c r="E37" s="9">
        <f>MIN(115,MAX(0,D37+C50))</f>
        <v/>
      </c>
      <c r="F37" s="9">
        <f>MIN(115,MAX(0,E37))</f>
        <v/>
      </c>
      <c r="G37" s="9">
        <f>IF(F37&gt;=85,"PROMINENT (Disorder)",IF(F37&gt;=75,"CLINICALLY SIGNIFICANT",IF(F37&gt;=60,"Trait Present","Not Significant")))</f>
        <v/>
      </c>
      <c r="H37" s="9">
        <f>IF(F37&gt;=85,"***",IF(F37&gt;=75,"**",IF(F37&gt;=60,"*","")))</f>
        <v/>
      </c>
    </row>
    <row r="38">
      <c r="A38" s="20" t="inlineStr">
        <is>
          <t>T</t>
        </is>
      </c>
      <c r="B38" s="21" t="inlineStr">
        <is>
          <t>Drug Dependence</t>
        </is>
      </c>
      <c r="C38" s="9">
        <f>IF('DATA ENTRY'!B12="TRUE",1,0)+IF('DATA ENTRY'!B18="TRUE",1,0)+IF('DATA ENTRY'!B34="TRUE",1,0)+IF('DATA ENTRY'!B40="TRUE",1,0)+IF('DATA ENTRY'!B44="TRUE",2,0)+IF('DATA ENTRY'!B53="TRUE",1,0)+IF('DATA ENTRY'!B64="TRUE",1,0)+IF('DATA ENTRY'!B69="TRUE",1,0)+IF('DATA ENTRY'!B70="TRUE",2,0)+IF('DATA ENTRY'!B83="TRUE",1,0)+IF('DATA ENTRY'!B91="TRUE",1,0)+IF('DATA ENTRY'!F22="TRUE",1,0)+IF('DATA ENTRY'!F29="TRUE",1,0)+IF('DATA ENTRY'!F49="TRUE",1,0)</f>
        <v/>
      </c>
      <c r="D38" s="9">
        <f>C38*3</f>
        <v/>
      </c>
      <c r="E38" s="9">
        <f>MIN(115,MAX(0,D38+C50))</f>
        <v/>
      </c>
      <c r="F38" s="9">
        <f>MIN(115,MAX(0,E38))</f>
        <v/>
      </c>
      <c r="G38" s="9">
        <f>IF(F38&gt;=85,"PROMINENT (Disorder)",IF(F38&gt;=75,"CLINICALLY SIGNIFICANT",IF(F38&gt;=60,"Trait Present","Not Significant")))</f>
        <v/>
      </c>
      <c r="H38" s="9">
        <f>IF(F38&gt;=85,"***",IF(F38&gt;=75,"**",IF(F38&gt;=60,"*","")))</f>
        <v/>
      </c>
    </row>
    <row r="39">
      <c r="A39" s="20" t="inlineStr">
        <is>
          <t>R</t>
        </is>
      </c>
      <c r="B39" s="21" t="inlineStr">
        <is>
          <t>PTSD</t>
        </is>
      </c>
      <c r="C39" s="9">
        <f>IF('DATA ENTRY'!B15="TRUE",2,0)+IF('DATA ENTRY'!B22="TRUE",1,0)+IF('DATA ENTRY'!B36="TRUE",2,0)+IF('DATA ENTRY'!B41="TRUE",1,0)+IF('DATA ENTRY'!B50="TRUE",1,0)+IF('DATA ENTRY'!B54="TRUE",1,0)+IF('DATA ENTRY'!B62="TRUE",1,0)+IF('DATA ENTRY'!B82="TRUE",1,0)+IF('DATA ENTRY'!B89="TRUE",1,0)+IF('DATA ENTRY'!B93="TRUE",1,0)+IF('DATA ENTRY'!F10="TRUE",1,0)+IF('DATA ENTRY'!F14="TRUE",1,0)+IF('DATA ENTRY'!F25="TRUE",1,0)+IF('DATA ENTRY'!F32="TRUE",1,0)+IF('DATA ENTRY'!F36="TRUE",1,0)+IF('DATA ENTRY'!F40="TRUE",1,0)+IF('DATA ENTRY'!F54="TRUE",1,0)</f>
        <v/>
      </c>
      <c r="D39" s="9">
        <f>C39*3</f>
        <v/>
      </c>
      <c r="E39" s="9">
        <f>MIN(115,MAX(0,D39+C50))</f>
        <v/>
      </c>
      <c r="F39" s="9">
        <f>MIN(115,MAX(0,E39))</f>
        <v/>
      </c>
      <c r="G39" s="9">
        <f>IF(F39&gt;=85,"PROMINENT (Disorder)",IF(F39&gt;=75,"CLINICALLY SIGNIFICANT",IF(F39&gt;=60,"Trait Present","Not Significant")))</f>
        <v/>
      </c>
      <c r="H39" s="9">
        <f>IF(F39&gt;=85,"***",IF(F39&gt;=75,"**",IF(F39&gt;=60,"*","")))</f>
        <v/>
      </c>
    </row>
    <row r="40">
      <c r="A40" s="19" t="inlineStr">
        <is>
          <t>Severe Syndrome</t>
        </is>
      </c>
    </row>
    <row r="41">
      <c r="A41" s="20" t="inlineStr">
        <is>
          <t>SS</t>
        </is>
      </c>
      <c r="B41" s="21" t="inlineStr">
        <is>
          <t>Thought Disorder</t>
        </is>
      </c>
      <c r="C41" s="9">
        <f>IF('DATA ENTRY'!B22="TRUE",1,0)+IF('DATA ENTRY'!B36="TRUE",2,0)+IF('DATA ENTRY'!B41="TRUE",1,0)+IF('DATA ENTRY'!B50="TRUE",1,0)+IF('DATA ENTRY'!B54="TRUE",1,0)+IF('DATA ENTRY'!B62="TRUE",1,0)+IF('DATA ENTRY'!B78="TRUE",2,0)+IF('DATA ENTRY'!B82="TRUE",1,0)+IF('DATA ENTRY'!B89="TRUE",1,0)+IF('DATA ENTRY'!B93="TRUE",1,0)+IF('DATA ENTRY'!F10="TRUE",1,0)+IF('DATA ENTRY'!F14="TRUE",1,0)+IF('DATA ENTRY'!F18="TRUE",1,0)+IF('DATA ENTRY'!F25="TRUE",1,0)+IF('DATA ENTRY'!F32="TRUE",1,0)+IF('DATA ENTRY'!F36="TRUE",1,0)+IF('DATA ENTRY'!F40="TRUE",1,0)+IF('DATA ENTRY'!F54="TRUE",1,0)+IF('DATA ENTRY'!F93="TRUE",2,0)</f>
        <v/>
      </c>
      <c r="D41" s="9">
        <f>C41*3</f>
        <v/>
      </c>
      <c r="E41" s="9">
        <f>MIN(115,MAX(0,D41+C50))</f>
        <v/>
      </c>
      <c r="F41" s="9">
        <f>MIN(115,MAX(0,E41+C52))</f>
        <v/>
      </c>
      <c r="G41" s="9">
        <f>IF(F41&gt;=85,"PROMINENT (Disorder)",IF(F41&gt;=75,"CLINICALLY SIGNIFICANT",IF(F41&gt;=60,"Trait Present","Not Significant")))</f>
        <v/>
      </c>
      <c r="H41" s="9">
        <f>IF(F41&gt;=85,"***",IF(F41&gt;=75,"**",IF(F41&gt;=60,"*","")))</f>
        <v/>
      </c>
    </row>
    <row r="42">
      <c r="A42" s="20" t="inlineStr">
        <is>
          <t>CC</t>
        </is>
      </c>
      <c r="B42" s="21" t="inlineStr">
        <is>
          <t>Major Depression</t>
        </is>
      </c>
      <c r="C42" s="9">
        <f>IF('DATA ENTRY'!B15="TRUE",2,0)+IF('DATA ENTRY'!B22="TRUE",1,0)+IF('DATA ENTRY'!B41="TRUE",1,0)+IF('DATA ENTRY'!B50="TRUE",1,0)+IF('DATA ENTRY'!B54="TRUE",1,0)+IF('DATA ENTRY'!B56="TRUE",1,0)+IF('DATA ENTRY'!B62="TRUE",1,0)+IF('DATA ENTRY'!B82="TRUE",1,0)+IF('DATA ENTRY'!B89="TRUE",1,0)+IF('DATA ENTRY'!B93="TRUE",1,0)+IF('DATA ENTRY'!F10="TRUE",1,0)+IF('DATA ENTRY'!F14="TRUE",1,0)+IF('DATA ENTRY'!F18="TRUE",1,0)+IF('DATA ENTRY'!F25="TRUE",1,0)+IF('DATA ENTRY'!F27="TRUE",2,0)+IF('DATA ENTRY'!F40="TRUE",1,0)+IF('DATA ENTRY'!F48="TRUE",1,0)+IF('DATA ENTRY'!F54="TRUE",1,0)+IF('DATA ENTRY'!F66="TRUE",2,0)</f>
        <v/>
      </c>
      <c r="D42" s="9">
        <f>C42*3</f>
        <v/>
      </c>
      <c r="E42" s="9">
        <f>MIN(115,MAX(0,D42+C50))</f>
        <v/>
      </c>
      <c r="F42" s="9">
        <f>MIN(115,MAX(0,E42+C53))</f>
        <v/>
      </c>
      <c r="G42" s="9">
        <f>IF(F42&gt;=85,"PROMINENT (Disorder)",IF(F42&gt;=75,"CLINICALLY SIGNIFICANT",IF(F42&gt;=60,"Trait Present","Not Significant")))</f>
        <v/>
      </c>
      <c r="H42" s="9">
        <f>IF(F42&gt;=85,"***",IF(F42&gt;=75,"**",IF(F42&gt;=60,"*","")))</f>
        <v/>
      </c>
    </row>
    <row r="43">
      <c r="A43" s="20" t="inlineStr">
        <is>
          <t>PP</t>
        </is>
      </c>
      <c r="B43" s="21" t="inlineStr">
        <is>
          <t>Delusional Disorder</t>
        </is>
      </c>
      <c r="C43" s="9">
        <f>IF('DATA ENTRY'!B12="TRUE",1,0)+IF('DATA ENTRY'!B14="TRUE",1,0)+IF('DATA ENTRY'!B18="TRUE",1,0)+IF('DATA ENTRY'!B23="TRUE",1,0)+IF('DATA ENTRY'!B34="TRUE",1,0)+IF('DATA ENTRY'!B35="TRUE",1,0)+IF('DATA ENTRY'!B40="TRUE",1,0)+IF('DATA ENTRY'!B53="TRUE",1,0)+IF('DATA ENTRY'!B64="TRUE",1,0)+IF('DATA ENTRY'!B69="TRUE",1,0)+IF('DATA ENTRY'!B83="TRUE",1,0)+IF('DATA ENTRY'!B91="TRUE",1,0)+IF('DATA ENTRY'!F61="TRUE",2,0)+IF('DATA ENTRY'!F93="TRUE",2,0)</f>
        <v/>
      </c>
      <c r="D43" s="9">
        <f>C43*3</f>
        <v/>
      </c>
      <c r="E43" s="9">
        <f>MIN(115,MAX(0,D43+C50))</f>
        <v/>
      </c>
      <c r="F43" s="9">
        <f>MIN(115,MAX(0,E43+C54))</f>
        <v/>
      </c>
      <c r="G43" s="9">
        <f>IF(F43&gt;=85,"PROMINENT (Disorder)",IF(F43&gt;=75,"CLINICALLY SIGNIFICANT",IF(F43&gt;=60,"Trait Present","Not Significant")))</f>
        <v/>
      </c>
      <c r="H43" s="9">
        <f>IF(F43&gt;=85,"***",IF(F43&gt;=75,"**",IF(F43&gt;=60,"*","")))</f>
        <v/>
      </c>
    </row>
    <row r="45">
      <c r="A45" s="22" t="inlineStr">
        <is>
          <t>SCALE X (DISCLOSURE) CALCULATION</t>
        </is>
      </c>
    </row>
    <row r="46">
      <c r="A46" t="inlineStr">
        <is>
          <t>X</t>
        </is>
      </c>
      <c r="B46" t="inlineStr">
        <is>
          <t>Disclosure (Raw)</t>
        </is>
      </c>
      <c r="C46" s="3">
        <f>ROUND(C17+C18+C19+C20+C21+C23+C24+C25+C26+C27+C22*2/3,0)</f>
        <v/>
      </c>
      <c r="D46">
        <f>IF(C46&lt;34,"INVALID - Too Low",IF(C46&gt;178,"INVALID - Too High","Valid: "&amp;C46))</f>
        <v/>
      </c>
    </row>
    <row r="48">
      <c r="A48" s="18" t="inlineStr">
        <is>
          <t>ADJUSTMENTS APPLIED</t>
        </is>
      </c>
    </row>
    <row r="49">
      <c r="A49" t="inlineStr">
        <is>
          <t>Disclosure Adj:</t>
        </is>
      </c>
      <c r="B49" t="inlineStr">
        <is>
          <t>1-8B Factor</t>
        </is>
      </c>
      <c r="C49" s="23">
        <f>IF(C46&lt;34,"N/A",IF(C46&gt;178,"N/A",IF(AND(C46&gt;=61,C46&lt;=123),0,IF(C46&lt;=37,20,IF(C46&lt;=40,17,IF(C46&lt;=43,15,IF(C46&lt;=46,12,IF(C46&lt;=49,9,IF(C46&lt;=52,7,IF(C46&lt;=55,4,IF(C46&lt;=58,2,IF(C46&lt;=60,1,IF(C46&lt;=127,-2,IF(C46&lt;=133,-4,IF(C46&lt;=140,-8,IF(C46&lt;=150,-11,IF(C46&lt;=160,-15,IF(C46&lt;=170,-19,-20))))))))))))))))))</f>
        <v/>
      </c>
    </row>
    <row r="50">
      <c r="A50" t="inlineStr">
        <is>
          <t>Disclosure Adj:</t>
        </is>
      </c>
      <c r="B50" t="inlineStr">
        <is>
          <t>S-PP Factor</t>
        </is>
      </c>
      <c r="C50" s="23">
        <f>IF(C46&lt;34,"N/A",IF(C46&gt;178,"N/A",IF(AND(C46&gt;=61,C46&lt;=123),0,IF(C46&lt;=38,10,IF(C46&lt;=42,9,IF(C46&lt;=44,8,IF(C46&lt;=47,7,IF(C46&lt;=49,5,IF(C46&lt;=52,4,IF(C46&lt;=55,3,IF(C46&lt;=58,2,IF(C46&lt;=60,1,IF(C46&lt;=128,-2,IF(C46&lt;=135,-4,IF(C46&lt;=145,-7,IF(C46&lt;=155,-9,IF(C46&lt;=165,-11,IF(C46&lt;=172,-13,-14))))))))))))))))))</f>
        <v/>
      </c>
    </row>
    <row r="52">
      <c r="A52" s="3" t="inlineStr">
        <is>
          <t>Inpatient Adj:</t>
        </is>
      </c>
      <c r="B52" t="inlineStr">
        <is>
          <t>(SS, CC, PP only - for IPD patients)</t>
        </is>
      </c>
      <c r="C52">
        <f>IF('DATA ENTRY'!D3="IPD",IF('DATA ENTRY'!D4&lt;1,6,IF('DATA ENTRY'!D4&lt;=4,4,0)),0)</f>
        <v/>
      </c>
    </row>
    <row r="53">
      <c r="B53" t="inlineStr">
        <is>
          <t>CC Inpatient Adj</t>
        </is>
      </c>
      <c r="C53">
        <f>IF('DATA ENTRY'!D3="IPD",IF('DATA ENTRY'!D4&lt;1,10,IF('DATA ENTRY'!D4&lt;=4,8,0)),0)</f>
        <v/>
      </c>
    </row>
    <row r="54">
      <c r="B54" t="inlineStr">
        <is>
          <t>PP Inpatient Adj</t>
        </is>
      </c>
      <c r="C54">
        <f>IF('DATA ENTRY'!D3="IPD",IF('DATA ENTRY'!D4&lt;1,4,IF('DATA ENTRY'!D4&lt;=4,2,0)),0)</f>
        <v/>
      </c>
    </row>
  </sheetData>
  <mergeCells count="7">
    <mergeCell ref="A16:H16"/>
    <mergeCell ref="A2:H2"/>
    <mergeCell ref="A28:H28"/>
    <mergeCell ref="A13:H13"/>
    <mergeCell ref="A1:H1"/>
    <mergeCell ref="A32:H32"/>
    <mergeCell ref="A40:H40"/>
  </mergeCells>
  <conditionalFormatting sqref="F13:F43">
    <cfRule type="cellIs" priority="1" operator="greaterThanOrEqual" dxfId="0">
      <formula>85</formula>
    </cfRule>
    <cfRule type="cellIs" priority="2" operator="between" dxfId="1">
      <formula>75</formula>
      <formula>84</formula>
    </cfRule>
    <cfRule type="cellIs" priority="3" operator="between" dxfId="2">
      <formula>60</formula>
      <formula>74</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8" customWidth="1" min="1" max="1"/>
    <col width="30" customWidth="1" min="2" max="2"/>
    <col width="10" customWidth="1" min="3" max="3"/>
    <col width="12" customWidth="1" min="4" max="4"/>
    <col width="25" customWidth="1" min="5" max="5"/>
    <col width="6" customWidth="1" min="6" max="6"/>
    <col width="45" customWidth="1" min="7" max="7"/>
  </cols>
  <sheetData>
    <row r="1">
      <c r="A1" s="1" t="inlineStr">
        <is>
          <t>MCMI-III CLINICAL PROFILE</t>
        </is>
      </c>
    </row>
    <row r="2">
      <c r="A2" s="11" t="inlineStr">
        <is>
          <t>Visual Profile - BR Scores with Clinical Thresholds</t>
        </is>
      </c>
    </row>
    <row r="4">
      <c r="A4" s="10" t="inlineStr">
        <is>
          <t>PROTOCOL VALIDITY:</t>
        </is>
      </c>
      <c r="C4" s="24">
        <f>'AUTO-SCORING'!E9</f>
        <v/>
      </c>
    </row>
    <row r="6">
      <c r="A6" s="3" t="inlineStr">
        <is>
          <t>LEGEND:</t>
        </is>
      </c>
    </row>
    <row r="7">
      <c r="A7" t="inlineStr">
        <is>
          <t>***</t>
        </is>
      </c>
      <c r="B7" s="25" t="inlineStr">
        <is>
          <t>BR &gt;= 85: PROMINENT (Disorder Present)</t>
        </is>
      </c>
    </row>
    <row r="8">
      <c r="A8" t="inlineStr">
        <is>
          <t>**</t>
        </is>
      </c>
      <c r="B8" s="26" t="inlineStr">
        <is>
          <t>BR 75-84: CLINICALLY SIGNIFICANT</t>
        </is>
      </c>
    </row>
    <row r="9">
      <c r="A9" t="inlineStr">
        <is>
          <t>*</t>
        </is>
      </c>
      <c r="B9" s="27" t="inlineStr">
        <is>
          <t>BR 60-74: Trait/Tendency Present</t>
        </is>
      </c>
    </row>
    <row r="10">
      <c r="B10" s="28" t="inlineStr">
        <is>
          <t>BR &lt; 60: Not Significant</t>
        </is>
      </c>
    </row>
    <row r="12">
      <c r="A12" s="6" t="inlineStr">
        <is>
          <t>Scale</t>
        </is>
      </c>
      <c r="B12" s="6" t="inlineStr">
        <is>
          <t>Name</t>
        </is>
      </c>
      <c r="C12" s="6" t="inlineStr">
        <is>
          <t>Raw</t>
        </is>
      </c>
      <c r="D12" s="6" t="inlineStr">
        <is>
          <t>Final BR</t>
        </is>
      </c>
      <c r="E12" s="6" t="inlineStr">
        <is>
          <t>Interpretation</t>
        </is>
      </c>
      <c r="F12" s="6" t="inlineStr">
        <is>
          <t>Lvl</t>
        </is>
      </c>
      <c r="G12" s="6" t="inlineStr">
        <is>
          <t>BR Bar Graph (0-115)</t>
        </is>
      </c>
    </row>
    <row r="13">
      <c r="A13" s="20" t="inlineStr">
        <is>
          <t>X</t>
        </is>
      </c>
      <c r="B13" s="21" t="inlineStr">
        <is>
          <t>Disclosure</t>
        </is>
      </c>
      <c r="C13" s="9">
        <f>'AUTO-SCORING'!C46</f>
        <v/>
      </c>
      <c r="D13" s="9">
        <f>'AUTO-SCORING'!C46</f>
        <v/>
      </c>
      <c r="E13" s="21">
        <f>IF(D13&gt;=85,"PROMINENT (Disorder)",IF(D13&gt;=75,"CLINICALLY SIGNIFICANT",IF(D13&gt;=60,"Trait Present","Not Significant")))</f>
        <v/>
      </c>
      <c r="F13" s="9">
        <f>IF(D13&gt;=85,"***",IF(D13&gt;=75,"**",IF(D13&gt;=60,"*","")))</f>
        <v/>
      </c>
      <c r="G13" s="29">
        <f>REPT("█",MIN(45,INT(D13/2.5)))&amp;" "&amp;D13</f>
        <v/>
      </c>
    </row>
    <row r="14">
      <c r="A14" s="20" t="inlineStr">
        <is>
          <t>Y</t>
        </is>
      </c>
      <c r="B14" s="21" t="inlineStr">
        <is>
          <t>Desirability</t>
        </is>
      </c>
      <c r="C14" s="9">
        <f>'AUTO-SCORING'!C14</f>
        <v/>
      </c>
      <c r="D14" s="9">
        <f>'AUTO-SCORING'!F14</f>
        <v/>
      </c>
      <c r="E14" s="21">
        <f>IF(D14&gt;=85,"PROMINENT (Disorder)",IF(D14&gt;=75,"CLINICALLY SIGNIFICANT",IF(D14&gt;=60,"Trait Present","Not Significant")))</f>
        <v/>
      </c>
      <c r="F14" s="9">
        <f>IF(D14&gt;=85,"***",IF(D14&gt;=75,"**",IF(D14&gt;=60,"*","")))</f>
        <v/>
      </c>
      <c r="G14" s="29">
        <f>REPT("█",MIN(45,INT(D14/2.5)))&amp;" "&amp;D14</f>
        <v/>
      </c>
    </row>
    <row r="15">
      <c r="A15" s="20" t="inlineStr">
        <is>
          <t>Z</t>
        </is>
      </c>
      <c r="B15" s="21" t="inlineStr">
        <is>
          <t>Debasement</t>
        </is>
      </c>
      <c r="C15" s="9">
        <f>'AUTO-SCORING'!C15</f>
        <v/>
      </c>
      <c r="D15" s="9">
        <f>'AUTO-SCORING'!F15</f>
        <v/>
      </c>
      <c r="E15" s="21">
        <f>IF(D15&gt;=85,"PROMINENT (Disorder)",IF(D15&gt;=75,"CLINICALLY SIGNIFICANT",IF(D15&gt;=60,"Trait Present","Not Significant")))</f>
        <v/>
      </c>
      <c r="F15" s="9">
        <f>IF(D15&gt;=85,"***",IF(D15&gt;=75,"**",IF(D15&gt;=60,"*","")))</f>
        <v/>
      </c>
      <c r="G15" s="29">
        <f>REPT("█",MIN(45,INT(D15/2.5)))&amp;" "&amp;D15</f>
        <v/>
      </c>
    </row>
    <row r="16">
      <c r="A16" s="20" t="inlineStr">
        <is>
          <t>1</t>
        </is>
      </c>
      <c r="B16" s="21" t="inlineStr">
        <is>
          <t>Schizoid</t>
        </is>
      </c>
      <c r="C16" s="9">
        <f>'AUTO-SCORING'!C17</f>
        <v/>
      </c>
      <c r="D16" s="9">
        <f>'AUTO-SCORING'!F17</f>
        <v/>
      </c>
      <c r="E16" s="21">
        <f>IF(D16&gt;=85,"PROMINENT (Disorder)",IF(D16&gt;=75,"CLINICALLY SIGNIFICANT",IF(D16&gt;=60,"Trait Present","Not Significant")))</f>
        <v/>
      </c>
      <c r="F16" s="9">
        <f>IF(D16&gt;=85,"***",IF(D16&gt;=75,"**",IF(D16&gt;=60,"*","")))</f>
        <v/>
      </c>
      <c r="G16" s="29">
        <f>REPT("█",MIN(45,INT(D16/2.5)))&amp;" "&amp;D16</f>
        <v/>
      </c>
    </row>
    <row r="17">
      <c r="A17" s="20" t="inlineStr">
        <is>
          <t>2A</t>
        </is>
      </c>
      <c r="B17" s="21" t="inlineStr">
        <is>
          <t>Avoidant</t>
        </is>
      </c>
      <c r="C17" s="9">
        <f>'AUTO-SCORING'!C18</f>
        <v/>
      </c>
      <c r="D17" s="9">
        <f>'AUTO-SCORING'!F18</f>
        <v/>
      </c>
      <c r="E17" s="21">
        <f>IF(D17&gt;=85,"PROMINENT (Disorder)",IF(D17&gt;=75,"CLINICALLY SIGNIFICANT",IF(D17&gt;=60,"Trait Present","Not Significant")))</f>
        <v/>
      </c>
      <c r="F17" s="9">
        <f>IF(D17&gt;=85,"***",IF(D17&gt;=75,"**",IF(D17&gt;=60,"*","")))</f>
        <v/>
      </c>
      <c r="G17" s="29">
        <f>REPT("█",MIN(45,INT(D17/2.5)))&amp;" "&amp;D17</f>
        <v/>
      </c>
    </row>
    <row r="18">
      <c r="A18" s="20" t="inlineStr">
        <is>
          <t>2B</t>
        </is>
      </c>
      <c r="B18" s="21" t="inlineStr">
        <is>
          <t>Depressive</t>
        </is>
      </c>
      <c r="C18" s="9">
        <f>'AUTO-SCORING'!C19</f>
        <v/>
      </c>
      <c r="D18" s="9">
        <f>'AUTO-SCORING'!F19</f>
        <v/>
      </c>
      <c r="E18" s="21">
        <f>IF(D18&gt;=85,"PROMINENT (Disorder)",IF(D18&gt;=75,"CLINICALLY SIGNIFICANT",IF(D18&gt;=60,"Trait Present","Not Significant")))</f>
        <v/>
      </c>
      <c r="F18" s="9">
        <f>IF(D18&gt;=85,"***",IF(D18&gt;=75,"**",IF(D18&gt;=60,"*","")))</f>
        <v/>
      </c>
      <c r="G18" s="29">
        <f>REPT("█",MIN(45,INT(D18/2.5)))&amp;" "&amp;D18</f>
        <v/>
      </c>
    </row>
    <row r="19">
      <c r="A19" s="20" t="inlineStr">
        <is>
          <t>3</t>
        </is>
      </c>
      <c r="B19" s="21" t="inlineStr">
        <is>
          <t>Dependent</t>
        </is>
      </c>
      <c r="C19" s="9">
        <f>'AUTO-SCORING'!C20</f>
        <v/>
      </c>
      <c r="D19" s="9">
        <f>'AUTO-SCORING'!F20</f>
        <v/>
      </c>
      <c r="E19" s="21">
        <f>IF(D19&gt;=85,"PROMINENT (Disorder)",IF(D19&gt;=75,"CLINICALLY SIGNIFICANT",IF(D19&gt;=60,"Trait Present","Not Significant")))</f>
        <v/>
      </c>
      <c r="F19" s="9">
        <f>IF(D19&gt;=85,"***",IF(D19&gt;=75,"**",IF(D19&gt;=60,"*","")))</f>
        <v/>
      </c>
      <c r="G19" s="29">
        <f>REPT("█",MIN(45,INT(D19/2.5)))&amp;" "&amp;D19</f>
        <v/>
      </c>
    </row>
    <row r="20">
      <c r="A20" s="20" t="inlineStr">
        <is>
          <t>4</t>
        </is>
      </c>
      <c r="B20" s="21" t="inlineStr">
        <is>
          <t>Histrionic</t>
        </is>
      </c>
      <c r="C20" s="9">
        <f>'AUTO-SCORING'!C21</f>
        <v/>
      </c>
      <c r="D20" s="9">
        <f>'AUTO-SCORING'!F21</f>
        <v/>
      </c>
      <c r="E20" s="21">
        <f>IF(D20&gt;=85,"PROMINENT (Disorder)",IF(D20&gt;=75,"CLINICALLY SIGNIFICANT",IF(D20&gt;=60,"Trait Present","Not Significant")))</f>
        <v/>
      </c>
      <c r="F20" s="9">
        <f>IF(D20&gt;=85,"***",IF(D20&gt;=75,"**",IF(D20&gt;=60,"*","")))</f>
        <v/>
      </c>
      <c r="G20" s="29">
        <f>REPT("█",MIN(45,INT(D20/2.5)))&amp;" "&amp;D20</f>
        <v/>
      </c>
    </row>
    <row r="21">
      <c r="A21" s="20" t="inlineStr">
        <is>
          <t>5</t>
        </is>
      </c>
      <c r="B21" s="21" t="inlineStr">
        <is>
          <t>Narcissistic</t>
        </is>
      </c>
      <c r="C21" s="9">
        <f>'AUTO-SCORING'!C22</f>
        <v/>
      </c>
      <c r="D21" s="9">
        <f>'AUTO-SCORING'!F22</f>
        <v/>
      </c>
      <c r="E21" s="21">
        <f>IF(D21&gt;=85,"PROMINENT (Disorder)",IF(D21&gt;=75,"CLINICALLY SIGNIFICANT",IF(D21&gt;=60,"Trait Present","Not Significant")))</f>
        <v/>
      </c>
      <c r="F21" s="9">
        <f>IF(D21&gt;=85,"***",IF(D21&gt;=75,"**",IF(D21&gt;=60,"*","")))</f>
        <v/>
      </c>
      <c r="G21" s="29">
        <f>REPT("█",MIN(45,INT(D21/2.5)))&amp;" "&amp;D21</f>
        <v/>
      </c>
    </row>
    <row r="22">
      <c r="A22" s="20" t="inlineStr">
        <is>
          <t>6A</t>
        </is>
      </c>
      <c r="B22" s="21" t="inlineStr">
        <is>
          <t>Antisocial</t>
        </is>
      </c>
      <c r="C22" s="9">
        <f>'AUTO-SCORING'!C23</f>
        <v/>
      </c>
      <c r="D22" s="9">
        <f>'AUTO-SCORING'!F23</f>
        <v/>
      </c>
      <c r="E22" s="21">
        <f>IF(D22&gt;=85,"PROMINENT (Disorder)",IF(D22&gt;=75,"CLINICALLY SIGNIFICANT",IF(D22&gt;=60,"Trait Present","Not Significant")))</f>
        <v/>
      </c>
      <c r="F22" s="9">
        <f>IF(D22&gt;=85,"***",IF(D22&gt;=75,"**",IF(D22&gt;=60,"*","")))</f>
        <v/>
      </c>
      <c r="G22" s="29">
        <f>REPT("█",MIN(45,INT(D22/2.5)))&amp;" "&amp;D22</f>
        <v/>
      </c>
    </row>
    <row r="23">
      <c r="A23" s="20" t="inlineStr">
        <is>
          <t>6B</t>
        </is>
      </c>
      <c r="B23" s="21" t="inlineStr">
        <is>
          <t>Aggressive (Sadistic)</t>
        </is>
      </c>
      <c r="C23" s="9">
        <f>'AUTO-SCORING'!C24</f>
        <v/>
      </c>
      <c r="D23" s="9">
        <f>'AUTO-SCORING'!F24</f>
        <v/>
      </c>
      <c r="E23" s="21">
        <f>IF(D23&gt;=85,"PROMINENT (Disorder)",IF(D23&gt;=75,"CLINICALLY SIGNIFICANT",IF(D23&gt;=60,"Trait Present","Not Significant")))</f>
        <v/>
      </c>
      <c r="F23" s="9">
        <f>IF(D23&gt;=85,"***",IF(D23&gt;=75,"**",IF(D23&gt;=60,"*","")))</f>
        <v/>
      </c>
      <c r="G23" s="29">
        <f>REPT("█",MIN(45,INT(D23/2.5)))&amp;" "&amp;D23</f>
        <v/>
      </c>
    </row>
    <row r="24">
      <c r="A24" s="20" t="inlineStr">
        <is>
          <t>7</t>
        </is>
      </c>
      <c r="B24" s="21" t="inlineStr">
        <is>
          <t>Compulsive</t>
        </is>
      </c>
      <c r="C24" s="9">
        <f>'AUTO-SCORING'!C25</f>
        <v/>
      </c>
      <c r="D24" s="9">
        <f>'AUTO-SCORING'!F25</f>
        <v/>
      </c>
      <c r="E24" s="21">
        <f>IF(D24&gt;=85,"PROMINENT (Disorder)",IF(D24&gt;=75,"CLINICALLY SIGNIFICANT",IF(D24&gt;=60,"Trait Present","Not Significant")))</f>
        <v/>
      </c>
      <c r="F24" s="9">
        <f>IF(D24&gt;=85,"***",IF(D24&gt;=75,"**",IF(D24&gt;=60,"*","")))</f>
        <v/>
      </c>
      <c r="G24" s="29">
        <f>REPT("█",MIN(45,INT(D24/2.5)))&amp;" "&amp;D24</f>
        <v/>
      </c>
    </row>
    <row r="25">
      <c r="A25" s="20" t="inlineStr">
        <is>
          <t>8A</t>
        </is>
      </c>
      <c r="B25" s="21" t="inlineStr">
        <is>
          <t>Negativistic</t>
        </is>
      </c>
      <c r="C25" s="9">
        <f>'AUTO-SCORING'!C26</f>
        <v/>
      </c>
      <c r="D25" s="9">
        <f>'AUTO-SCORING'!F26</f>
        <v/>
      </c>
      <c r="E25" s="21">
        <f>IF(D25&gt;=85,"PROMINENT (Disorder)",IF(D25&gt;=75,"CLINICALLY SIGNIFICANT",IF(D25&gt;=60,"Trait Present","Not Significant")))</f>
        <v/>
      </c>
      <c r="F25" s="9">
        <f>IF(D25&gt;=85,"***",IF(D25&gt;=75,"**",IF(D25&gt;=60,"*","")))</f>
        <v/>
      </c>
      <c r="G25" s="29">
        <f>REPT("█",MIN(45,INT(D25/2.5)))&amp;" "&amp;D25</f>
        <v/>
      </c>
    </row>
    <row r="26">
      <c r="A26" s="20" t="inlineStr">
        <is>
          <t>8B</t>
        </is>
      </c>
      <c r="B26" s="21" t="inlineStr">
        <is>
          <t>Masochistic</t>
        </is>
      </c>
      <c r="C26" s="9">
        <f>'AUTO-SCORING'!C27</f>
        <v/>
      </c>
      <c r="D26" s="9">
        <f>'AUTO-SCORING'!F27</f>
        <v/>
      </c>
      <c r="E26" s="21">
        <f>IF(D26&gt;=85,"PROMINENT (Disorder)",IF(D26&gt;=75,"CLINICALLY SIGNIFICANT",IF(D26&gt;=60,"Trait Present","Not Significant")))</f>
        <v/>
      </c>
      <c r="F26" s="9">
        <f>IF(D26&gt;=85,"***",IF(D26&gt;=75,"**",IF(D26&gt;=60,"*","")))</f>
        <v/>
      </c>
      <c r="G26" s="29">
        <f>REPT("█",MIN(45,INT(D26/2.5)))&amp;" "&amp;D26</f>
        <v/>
      </c>
    </row>
    <row r="27">
      <c r="A27" s="20" t="inlineStr">
        <is>
          <t>S</t>
        </is>
      </c>
      <c r="B27" s="21" t="inlineStr">
        <is>
          <t>Schizotypal</t>
        </is>
      </c>
      <c r="C27" s="9">
        <f>'AUTO-SCORING'!C29</f>
        <v/>
      </c>
      <c r="D27" s="9">
        <f>'AUTO-SCORING'!F29</f>
        <v/>
      </c>
      <c r="E27" s="21">
        <f>IF(D27&gt;=85,"PROMINENT (Disorder)",IF(D27&gt;=75,"CLINICALLY SIGNIFICANT",IF(D27&gt;=60,"Trait Present","Not Significant")))</f>
        <v/>
      </c>
      <c r="F27" s="9">
        <f>IF(D27&gt;=85,"***",IF(D27&gt;=75,"**",IF(D27&gt;=60,"*","")))</f>
        <v/>
      </c>
      <c r="G27" s="29">
        <f>REPT("█",MIN(45,INT(D27/2.5)))&amp;" "&amp;D27</f>
        <v/>
      </c>
    </row>
    <row r="28">
      <c r="A28" s="20" t="inlineStr">
        <is>
          <t>C</t>
        </is>
      </c>
      <c r="B28" s="21" t="inlineStr">
        <is>
          <t>Borderline</t>
        </is>
      </c>
      <c r="C28" s="9">
        <f>'AUTO-SCORING'!C30</f>
        <v/>
      </c>
      <c r="D28" s="9">
        <f>'AUTO-SCORING'!F30</f>
        <v/>
      </c>
      <c r="E28" s="21">
        <f>IF(D28&gt;=85,"PROMINENT (Disorder)",IF(D28&gt;=75,"CLINICALLY SIGNIFICANT",IF(D28&gt;=60,"Trait Present","Not Significant")))</f>
        <v/>
      </c>
      <c r="F28" s="9">
        <f>IF(D28&gt;=85,"***",IF(D28&gt;=75,"**",IF(D28&gt;=60,"*","")))</f>
        <v/>
      </c>
      <c r="G28" s="29">
        <f>REPT("█",MIN(45,INT(D28/2.5)))&amp;" "&amp;D28</f>
        <v/>
      </c>
    </row>
    <row r="29">
      <c r="A29" s="20" t="inlineStr">
        <is>
          <t>P</t>
        </is>
      </c>
      <c r="B29" s="21" t="inlineStr">
        <is>
          <t>Paranoid</t>
        </is>
      </c>
      <c r="C29" s="9">
        <f>'AUTO-SCORING'!C31</f>
        <v/>
      </c>
      <c r="D29" s="9">
        <f>'AUTO-SCORING'!F31</f>
        <v/>
      </c>
      <c r="E29" s="21">
        <f>IF(D29&gt;=85,"PROMINENT (Disorder)",IF(D29&gt;=75,"CLINICALLY SIGNIFICANT",IF(D29&gt;=60,"Trait Present","Not Significant")))</f>
        <v/>
      </c>
      <c r="F29" s="9">
        <f>IF(D29&gt;=85,"***",IF(D29&gt;=75,"**",IF(D29&gt;=60,"*","")))</f>
        <v/>
      </c>
      <c r="G29" s="29">
        <f>REPT("█",MIN(45,INT(D29/2.5)))&amp;" "&amp;D29</f>
        <v/>
      </c>
    </row>
    <row r="30">
      <c r="A30" s="20" t="inlineStr">
        <is>
          <t>A</t>
        </is>
      </c>
      <c r="B30" s="21" t="inlineStr">
        <is>
          <t>Anxiety</t>
        </is>
      </c>
      <c r="C30" s="9">
        <f>'AUTO-SCORING'!C33</f>
        <v/>
      </c>
      <c r="D30" s="9">
        <f>'AUTO-SCORING'!F33</f>
        <v/>
      </c>
      <c r="E30" s="21">
        <f>IF(D30&gt;=85,"PROMINENT (Disorder)",IF(D30&gt;=75,"CLINICALLY SIGNIFICANT",IF(D30&gt;=60,"Trait Present","Not Significant")))</f>
        <v/>
      </c>
      <c r="F30" s="9">
        <f>IF(D30&gt;=85,"***",IF(D30&gt;=75,"**",IF(D30&gt;=60,"*","")))</f>
        <v/>
      </c>
      <c r="G30" s="29">
        <f>REPT("█",MIN(45,INT(D30/2.5)))&amp;" "&amp;D30</f>
        <v/>
      </c>
    </row>
    <row r="31">
      <c r="A31" s="20" t="inlineStr">
        <is>
          <t>H</t>
        </is>
      </c>
      <c r="B31" s="21" t="inlineStr">
        <is>
          <t>Somatoform</t>
        </is>
      </c>
      <c r="C31" s="9">
        <f>'AUTO-SCORING'!C34</f>
        <v/>
      </c>
      <c r="D31" s="9">
        <f>'AUTO-SCORING'!F34</f>
        <v/>
      </c>
      <c r="E31" s="21">
        <f>IF(D31&gt;=85,"PROMINENT (Disorder)",IF(D31&gt;=75,"CLINICALLY SIGNIFICANT",IF(D31&gt;=60,"Trait Present","Not Significant")))</f>
        <v/>
      </c>
      <c r="F31" s="9">
        <f>IF(D31&gt;=85,"***",IF(D31&gt;=75,"**",IF(D31&gt;=60,"*","")))</f>
        <v/>
      </c>
      <c r="G31" s="29">
        <f>REPT("█",MIN(45,INT(D31/2.5)))&amp;" "&amp;D31</f>
        <v/>
      </c>
    </row>
    <row r="32">
      <c r="A32" s="20" t="inlineStr">
        <is>
          <t>N</t>
        </is>
      </c>
      <c r="B32" s="21" t="inlineStr">
        <is>
          <t>Bipolar: Manic</t>
        </is>
      </c>
      <c r="C32" s="9">
        <f>'AUTO-SCORING'!C35</f>
        <v/>
      </c>
      <c r="D32" s="9">
        <f>'AUTO-SCORING'!F35</f>
        <v/>
      </c>
      <c r="E32" s="21">
        <f>IF(D32&gt;=85,"PROMINENT (Disorder)",IF(D32&gt;=75,"CLINICALLY SIGNIFICANT",IF(D32&gt;=60,"Trait Present","Not Significant")))</f>
        <v/>
      </c>
      <c r="F32" s="9">
        <f>IF(D32&gt;=85,"***",IF(D32&gt;=75,"**",IF(D32&gt;=60,"*","")))</f>
        <v/>
      </c>
      <c r="G32" s="29">
        <f>REPT("█",MIN(45,INT(D32/2.5)))&amp;" "&amp;D32</f>
        <v/>
      </c>
    </row>
    <row r="33">
      <c r="A33" s="20" t="inlineStr">
        <is>
          <t>D</t>
        </is>
      </c>
      <c r="B33" s="21" t="inlineStr">
        <is>
          <t>Dysthymia</t>
        </is>
      </c>
      <c r="C33" s="9">
        <f>'AUTO-SCORING'!C36</f>
        <v/>
      </c>
      <c r="D33" s="9">
        <f>'AUTO-SCORING'!F36</f>
        <v/>
      </c>
      <c r="E33" s="21">
        <f>IF(D33&gt;=85,"PROMINENT (Disorder)",IF(D33&gt;=75,"CLINICALLY SIGNIFICANT",IF(D33&gt;=60,"Trait Present","Not Significant")))</f>
        <v/>
      </c>
      <c r="F33" s="9">
        <f>IF(D33&gt;=85,"***",IF(D33&gt;=75,"**",IF(D33&gt;=60,"*","")))</f>
        <v/>
      </c>
      <c r="G33" s="29">
        <f>REPT("█",MIN(45,INT(D33/2.5)))&amp;" "&amp;D33</f>
        <v/>
      </c>
    </row>
    <row r="34">
      <c r="A34" s="20" t="inlineStr">
        <is>
          <t>B</t>
        </is>
      </c>
      <c r="B34" s="21" t="inlineStr">
        <is>
          <t>Alcohol Dependence</t>
        </is>
      </c>
      <c r="C34" s="9">
        <f>'AUTO-SCORING'!C37</f>
        <v/>
      </c>
      <c r="D34" s="9">
        <f>'AUTO-SCORING'!F37</f>
        <v/>
      </c>
      <c r="E34" s="21">
        <f>IF(D34&gt;=85,"PROMINENT (Disorder)",IF(D34&gt;=75,"CLINICALLY SIGNIFICANT",IF(D34&gt;=60,"Trait Present","Not Significant")))</f>
        <v/>
      </c>
      <c r="F34" s="9">
        <f>IF(D34&gt;=85,"***",IF(D34&gt;=75,"**",IF(D34&gt;=60,"*","")))</f>
        <v/>
      </c>
      <c r="G34" s="29">
        <f>REPT("█",MIN(45,INT(D34/2.5)))&amp;" "&amp;D34</f>
        <v/>
      </c>
    </row>
    <row r="35">
      <c r="A35" s="20" t="inlineStr">
        <is>
          <t>T</t>
        </is>
      </c>
      <c r="B35" s="21" t="inlineStr">
        <is>
          <t>Drug Dependence</t>
        </is>
      </c>
      <c r="C35" s="9">
        <f>'AUTO-SCORING'!C38</f>
        <v/>
      </c>
      <c r="D35" s="9">
        <f>'AUTO-SCORING'!F38</f>
        <v/>
      </c>
      <c r="E35" s="21">
        <f>IF(D35&gt;=85,"PROMINENT (Disorder)",IF(D35&gt;=75,"CLINICALLY SIGNIFICANT",IF(D35&gt;=60,"Trait Present","Not Significant")))</f>
        <v/>
      </c>
      <c r="F35" s="9">
        <f>IF(D35&gt;=85,"***",IF(D35&gt;=75,"**",IF(D35&gt;=60,"*","")))</f>
        <v/>
      </c>
      <c r="G35" s="29">
        <f>REPT("█",MIN(45,INT(D35/2.5)))&amp;" "&amp;D35</f>
        <v/>
      </c>
    </row>
    <row r="36">
      <c r="A36" s="20" t="inlineStr">
        <is>
          <t>R</t>
        </is>
      </c>
      <c r="B36" s="21" t="inlineStr">
        <is>
          <t>PTSD</t>
        </is>
      </c>
      <c r="C36" s="9">
        <f>'AUTO-SCORING'!C39</f>
        <v/>
      </c>
      <c r="D36" s="9">
        <f>'AUTO-SCORING'!F39</f>
        <v/>
      </c>
      <c r="E36" s="21">
        <f>IF(D36&gt;=85,"PROMINENT (Disorder)",IF(D36&gt;=75,"CLINICALLY SIGNIFICANT",IF(D36&gt;=60,"Trait Present","Not Significant")))</f>
        <v/>
      </c>
      <c r="F36" s="9">
        <f>IF(D36&gt;=85,"***",IF(D36&gt;=75,"**",IF(D36&gt;=60,"*","")))</f>
        <v/>
      </c>
      <c r="G36" s="29">
        <f>REPT("█",MIN(45,INT(D36/2.5)))&amp;" "&amp;D36</f>
        <v/>
      </c>
    </row>
    <row r="37">
      <c r="A37" s="20" t="inlineStr">
        <is>
          <t>SS</t>
        </is>
      </c>
      <c r="B37" s="21" t="inlineStr">
        <is>
          <t>Thought Disorder</t>
        </is>
      </c>
      <c r="C37" s="9">
        <f>'AUTO-SCORING'!C41</f>
        <v/>
      </c>
      <c r="D37" s="9">
        <f>'AUTO-SCORING'!F41</f>
        <v/>
      </c>
      <c r="E37" s="21">
        <f>IF(D37&gt;=85,"PROMINENT (Disorder)",IF(D37&gt;=75,"CLINICALLY SIGNIFICANT",IF(D37&gt;=60,"Trait Present","Not Significant")))</f>
        <v/>
      </c>
      <c r="F37" s="9">
        <f>IF(D37&gt;=85,"***",IF(D37&gt;=75,"**",IF(D37&gt;=60,"*","")))</f>
        <v/>
      </c>
      <c r="G37" s="29">
        <f>REPT("█",MIN(45,INT(D37/2.5)))&amp;" "&amp;D37</f>
        <v/>
      </c>
    </row>
    <row r="38">
      <c r="A38" s="20" t="inlineStr">
        <is>
          <t>CC</t>
        </is>
      </c>
      <c r="B38" s="21" t="inlineStr">
        <is>
          <t>Major Depression</t>
        </is>
      </c>
      <c r="C38" s="9">
        <f>'AUTO-SCORING'!C42</f>
        <v/>
      </c>
      <c r="D38" s="9">
        <f>'AUTO-SCORING'!F42</f>
        <v/>
      </c>
      <c r="E38" s="21">
        <f>IF(D38&gt;=85,"PROMINENT (Disorder)",IF(D38&gt;=75,"CLINICALLY SIGNIFICANT",IF(D38&gt;=60,"Trait Present","Not Significant")))</f>
        <v/>
      </c>
      <c r="F38" s="9">
        <f>IF(D38&gt;=85,"***",IF(D38&gt;=75,"**",IF(D38&gt;=60,"*","")))</f>
        <v/>
      </c>
      <c r="G38" s="29">
        <f>REPT("█",MIN(45,INT(D38/2.5)))&amp;" "&amp;D38</f>
        <v/>
      </c>
    </row>
    <row r="39">
      <c r="A39" s="20" t="inlineStr">
        <is>
          <t>PP</t>
        </is>
      </c>
      <c r="B39" s="21" t="inlineStr">
        <is>
          <t>Delusional Disorder</t>
        </is>
      </c>
      <c r="C39" s="9">
        <f>'AUTO-SCORING'!C43</f>
        <v/>
      </c>
      <c r="D39" s="9">
        <f>'AUTO-SCORING'!F43</f>
        <v/>
      </c>
      <c r="E39" s="21">
        <f>IF(D39&gt;=85,"PROMINENT (Disorder)",IF(D39&gt;=75,"CLINICALLY SIGNIFICANT",IF(D39&gt;=60,"Trait Present","Not Significant")))</f>
        <v/>
      </c>
      <c r="F39" s="9">
        <f>IF(D39&gt;=85,"***",IF(D39&gt;=75,"**",IF(D39&gt;=60,"*","")))</f>
        <v/>
      </c>
      <c r="G39" s="29">
        <f>REPT("█",MIN(45,INT(D39/2.5)))&amp;" "&amp;D39</f>
        <v/>
      </c>
    </row>
    <row r="42">
      <c r="A42" s="3" t="inlineStr">
        <is>
          <t>CLINICAL THRESHOLDS:</t>
        </is>
      </c>
    </row>
    <row r="43">
      <c r="A43" t="inlineStr">
        <is>
          <t>BR 60 = Clinical threshold for trait presence</t>
        </is>
      </c>
    </row>
    <row r="44">
      <c r="A44" t="inlineStr">
        <is>
          <t>BR 75 = Threshold for clinically significant presence</t>
        </is>
      </c>
    </row>
    <row r="45">
      <c r="A45" t="inlineStr">
        <is>
          <t>BR 85 = Threshold for prominent/disorder presence</t>
        </is>
      </c>
    </row>
    <row r="47">
      <c r="A47" s="3" t="inlineStr">
        <is>
          <t>SCORING NOTES:</t>
        </is>
      </c>
    </row>
    <row r="48">
      <c r="A48" t="inlineStr">
        <is>
          <t>- Disclosure Adjustment applied to all personality + syndrome scales</t>
        </is>
      </c>
    </row>
    <row r="49">
      <c r="A49" t="inlineStr">
        <is>
          <t>- Inpatient Adjustment applied to SS, CC, PP (for IPD setting only)</t>
        </is>
      </c>
    </row>
    <row r="50">
      <c r="A50" t="inlineStr">
        <is>
          <t>- Scale X valid range: 34-178 (outside = INVALID)</t>
        </is>
      </c>
    </row>
    <row r="51">
      <c r="A51" t="inlineStr">
        <is>
          <t>- Scale V &gt;= 2 = INVALID (random responding)</t>
        </is>
      </c>
    </row>
    <row r="52">
      <c r="A52" t="inlineStr">
        <is>
          <t>- Scale W &gt;= 10 = INVALID (inconsistent responding)</t>
        </is>
      </c>
    </row>
  </sheetData>
  <mergeCells count="2">
    <mergeCell ref="A2:G2"/>
    <mergeCell ref="A1:G1"/>
  </mergeCells>
  <conditionalFormatting sqref="D13:D39">
    <cfRule type="cellIs" priority="1" operator="greaterThanOrEqual" dxfId="0">
      <formula>85</formula>
    </cfRule>
    <cfRule type="cellIs" priority="2" operator="between" dxfId="1">
      <formula>75</formula>
      <formula>84</formula>
    </cfRule>
    <cfRule type="cellIs" priority="3" operator="between" dxfId="2">
      <formula>60</formula>
      <formula>74</formula>
    </cfRule>
    <cfRule type="cellIs" priority="4" operator="lessThan" dxfId="3">
      <formula>60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s>
  <sheetData>
    <row r="1">
      <c r="A1" s="30" t="inlineStr">
        <is>
          <t>MCMI-III BR SCORING REFERENCE TABLES</t>
        </is>
      </c>
    </row>
    <row r="3">
      <c r="A3" s="10" t="inlineStr">
        <is>
          <t>BR SCORE INTERPRETATION</t>
        </is>
      </c>
    </row>
    <row r="4">
      <c r="A4" s="31" t="inlineStr">
        <is>
          <t>BR Range</t>
        </is>
      </c>
      <c r="B4" s="31" t="inlineStr">
        <is>
          <t>Level</t>
        </is>
      </c>
      <c r="C4" s="31" t="inlineStr">
        <is>
          <t>Meaning</t>
        </is>
      </c>
    </row>
    <row r="5">
      <c r="A5" t="inlineStr">
        <is>
          <t>&lt; 60</t>
        </is>
      </c>
      <c r="B5" t="inlineStr">
        <is>
          <t>Not Significant</t>
        </is>
      </c>
      <c r="C5" t="inlineStr">
        <is>
          <t>No pathological trait</t>
        </is>
      </c>
    </row>
    <row r="6">
      <c r="A6" t="inlineStr">
        <is>
          <t>60-74</t>
        </is>
      </c>
      <c r="B6" t="inlineStr">
        <is>
          <t>Trait Present</t>
        </is>
      </c>
      <c r="C6" t="inlineStr">
        <is>
          <t>Subclinical trait/tendency</t>
        </is>
      </c>
    </row>
    <row r="7">
      <c r="A7" t="inlineStr">
        <is>
          <t>75-84</t>
        </is>
      </c>
      <c r="B7" t="inlineStr">
        <is>
          <t>Clinically Significant</t>
        </is>
      </c>
      <c r="C7" t="inlineStr">
        <is>
          <t>Syndrome/disorder present</t>
        </is>
      </c>
    </row>
    <row r="8">
      <c r="A8" t="inlineStr">
        <is>
          <t>&gt;= 85</t>
        </is>
      </c>
      <c r="B8" t="inlineStr">
        <is>
          <t>PROMINENT</t>
        </is>
      </c>
      <c r="C8" t="inlineStr">
        <is>
          <t>Disorder is a prominent feature</t>
        </is>
      </c>
    </row>
    <row r="11">
      <c r="A11" s="10" t="inlineStr">
        <is>
          <t>DISCLOSURE ADJUSTMENT (Table 1)</t>
        </is>
      </c>
    </row>
    <row r="12">
      <c r="A12" s="32" t="inlineStr">
        <is>
          <t>Scale X Raw</t>
        </is>
      </c>
      <c r="B12" s="32" t="inlineStr">
        <is>
          <t>1-8B Adj</t>
        </is>
      </c>
      <c r="C12" s="32" t="inlineStr">
        <is>
          <t>S-PP Adj</t>
        </is>
      </c>
    </row>
    <row r="13">
      <c r="A13" s="21" t="inlineStr">
        <is>
          <t>34-37</t>
        </is>
      </c>
      <c r="B13" s="21" t="inlineStr">
        <is>
          <t>+20</t>
        </is>
      </c>
      <c r="C13" s="21" t="inlineStr">
        <is>
          <t>+10</t>
        </is>
      </c>
    </row>
    <row r="14">
      <c r="A14" s="21" t="inlineStr">
        <is>
          <t>38</t>
        </is>
      </c>
      <c r="B14" s="21" t="inlineStr">
        <is>
          <t>+19</t>
        </is>
      </c>
      <c r="C14" s="21" t="inlineStr">
        <is>
          <t>+10</t>
        </is>
      </c>
    </row>
    <row r="15">
      <c r="A15" s="21" t="inlineStr">
        <is>
          <t>39</t>
        </is>
      </c>
      <c r="B15" s="21" t="inlineStr">
        <is>
          <t>+18</t>
        </is>
      </c>
      <c r="C15" s="21" t="inlineStr">
        <is>
          <t>+10</t>
        </is>
      </c>
    </row>
    <row r="16">
      <c r="A16" s="21" t="inlineStr">
        <is>
          <t>40-41</t>
        </is>
      </c>
      <c r="B16" s="21" t="inlineStr">
        <is>
          <t>+17</t>
        </is>
      </c>
      <c r="C16" s="21" t="inlineStr">
        <is>
          <t>+9</t>
        </is>
      </c>
    </row>
    <row r="17">
      <c r="A17" s="21" t="inlineStr">
        <is>
          <t>42</t>
        </is>
      </c>
      <c r="B17" s="21" t="inlineStr">
        <is>
          <t>+16</t>
        </is>
      </c>
      <c r="C17" s="21" t="inlineStr">
        <is>
          <t>+9</t>
        </is>
      </c>
    </row>
    <row r="18">
      <c r="A18" s="21" t="inlineStr">
        <is>
          <t>43</t>
        </is>
      </c>
      <c r="B18" s="21" t="inlineStr">
        <is>
          <t>+15</t>
        </is>
      </c>
      <c r="C18" s="21" t="inlineStr">
        <is>
          <t>+8</t>
        </is>
      </c>
    </row>
    <row r="19">
      <c r="A19" s="21" t="inlineStr">
        <is>
          <t>44</t>
        </is>
      </c>
      <c r="B19" s="21" t="inlineStr">
        <is>
          <t>+14</t>
        </is>
      </c>
      <c r="C19" s="21" t="inlineStr">
        <is>
          <t>+8</t>
        </is>
      </c>
    </row>
    <row r="20">
      <c r="A20" s="21" t="inlineStr">
        <is>
          <t>45</t>
        </is>
      </c>
      <c r="B20" s="21" t="inlineStr">
        <is>
          <t>+13</t>
        </is>
      </c>
      <c r="C20" s="21" t="inlineStr">
        <is>
          <t>+7</t>
        </is>
      </c>
    </row>
    <row r="21">
      <c r="A21" s="21" t="inlineStr">
        <is>
          <t>46</t>
        </is>
      </c>
      <c r="B21" s="21" t="inlineStr">
        <is>
          <t>+12</t>
        </is>
      </c>
      <c r="C21" s="21" t="inlineStr">
        <is>
          <t>+7</t>
        </is>
      </c>
    </row>
    <row r="22">
      <c r="A22" s="21" t="inlineStr">
        <is>
          <t>47</t>
        </is>
      </c>
      <c r="B22" s="21" t="inlineStr">
        <is>
          <t>+11</t>
        </is>
      </c>
      <c r="C22" s="21" t="inlineStr">
        <is>
          <t>+6</t>
        </is>
      </c>
    </row>
    <row r="23">
      <c r="A23" s="21" t="inlineStr">
        <is>
          <t>48</t>
        </is>
      </c>
      <c r="B23" s="21" t="inlineStr">
        <is>
          <t>+10</t>
        </is>
      </c>
      <c r="C23" s="21" t="inlineStr">
        <is>
          <t>+6</t>
        </is>
      </c>
    </row>
    <row r="24">
      <c r="A24" s="21" t="inlineStr">
        <is>
          <t>49</t>
        </is>
      </c>
      <c r="B24" s="21" t="inlineStr">
        <is>
          <t>+9</t>
        </is>
      </c>
      <c r="C24" s="21" t="inlineStr">
        <is>
          <t>+5</t>
        </is>
      </c>
    </row>
    <row r="25">
      <c r="A25" s="21" t="inlineStr">
        <is>
          <t>50</t>
        </is>
      </c>
      <c r="B25" s="21" t="inlineStr">
        <is>
          <t>+9</t>
        </is>
      </c>
      <c r="C25" s="21" t="inlineStr">
        <is>
          <t>+5</t>
        </is>
      </c>
    </row>
    <row r="26">
      <c r="A26" s="21" t="inlineStr">
        <is>
          <t>51</t>
        </is>
      </c>
      <c r="B26" s="21" t="inlineStr">
        <is>
          <t>+8</t>
        </is>
      </c>
      <c r="C26" s="21" t="inlineStr">
        <is>
          <t>+4</t>
        </is>
      </c>
    </row>
    <row r="27">
      <c r="A27" s="21" t="inlineStr">
        <is>
          <t>52</t>
        </is>
      </c>
      <c r="B27" s="21" t="inlineStr">
        <is>
          <t>+7</t>
        </is>
      </c>
      <c r="C27" s="21" t="inlineStr">
        <is>
          <t>+4</t>
        </is>
      </c>
    </row>
    <row r="28">
      <c r="A28" s="21" t="inlineStr">
        <is>
          <t>53</t>
        </is>
      </c>
      <c r="B28" s="21" t="inlineStr">
        <is>
          <t>+6</t>
        </is>
      </c>
      <c r="C28" s="21" t="inlineStr">
        <is>
          <t>+3</t>
        </is>
      </c>
    </row>
    <row r="29">
      <c r="A29" s="21" t="inlineStr">
        <is>
          <t>54</t>
        </is>
      </c>
      <c r="B29" s="21" t="inlineStr">
        <is>
          <t>+5</t>
        </is>
      </c>
      <c r="C29" s="21" t="inlineStr">
        <is>
          <t>+3</t>
        </is>
      </c>
    </row>
    <row r="30">
      <c r="A30" s="21" t="inlineStr">
        <is>
          <t>55</t>
        </is>
      </c>
      <c r="B30" s="21" t="inlineStr">
        <is>
          <t>+4</t>
        </is>
      </c>
      <c r="C30" s="21" t="inlineStr">
        <is>
          <t>+3</t>
        </is>
      </c>
    </row>
    <row r="31">
      <c r="A31" s="21" t="inlineStr">
        <is>
          <t>56</t>
        </is>
      </c>
      <c r="B31" s="21" t="inlineStr">
        <is>
          <t>+3</t>
        </is>
      </c>
      <c r="C31" s="21" t="inlineStr">
        <is>
          <t>+2</t>
        </is>
      </c>
    </row>
    <row r="32">
      <c r="A32" s="21" t="inlineStr">
        <is>
          <t>57</t>
        </is>
      </c>
      <c r="B32" s="21" t="inlineStr">
        <is>
          <t>+2</t>
        </is>
      </c>
      <c r="C32" s="21" t="inlineStr">
        <is>
          <t>+2</t>
        </is>
      </c>
    </row>
    <row r="33">
      <c r="A33" s="21" t="inlineStr">
        <is>
          <t>58</t>
        </is>
      </c>
      <c r="B33" s="21" t="inlineStr">
        <is>
          <t>+2</t>
        </is>
      </c>
      <c r="C33" s="21" t="inlineStr">
        <is>
          <t>+2</t>
        </is>
      </c>
    </row>
    <row r="34">
      <c r="A34" s="21" t="inlineStr">
        <is>
          <t>59</t>
        </is>
      </c>
      <c r="B34" s="21" t="inlineStr">
        <is>
          <t>+1</t>
        </is>
      </c>
      <c r="C34" s="21" t="inlineStr">
        <is>
          <t>+1</t>
        </is>
      </c>
    </row>
    <row r="35">
      <c r="A35" s="21" t="inlineStr">
        <is>
          <t>60</t>
        </is>
      </c>
      <c r="B35" s="21" t="inlineStr">
        <is>
          <t>+1</t>
        </is>
      </c>
      <c r="C35" s="21" t="inlineStr">
        <is>
          <t>+1</t>
        </is>
      </c>
    </row>
    <row r="36">
      <c r="A36" s="21" t="inlineStr">
        <is>
          <t>61-123</t>
        </is>
      </c>
      <c r="B36" s="21" t="inlineStr">
        <is>
          <t>0</t>
        </is>
      </c>
      <c r="C36" s="21" t="inlineStr">
        <is>
          <t>0</t>
        </is>
      </c>
    </row>
    <row r="37">
      <c r="A37" s="21" t="inlineStr">
        <is>
          <t>124-125</t>
        </is>
      </c>
      <c r="B37" s="21" t="inlineStr">
        <is>
          <t>-1</t>
        </is>
      </c>
      <c r="C37" s="21" t="inlineStr">
        <is>
          <t>-1</t>
        </is>
      </c>
    </row>
    <row r="38">
      <c r="A38" s="21" t="inlineStr">
        <is>
          <t>126-128</t>
        </is>
      </c>
      <c r="B38" s="21" t="inlineStr">
        <is>
          <t>-2</t>
        </is>
      </c>
      <c r="C38" s="21" t="inlineStr">
        <is>
          <t>-2</t>
        </is>
      </c>
    </row>
    <row r="39">
      <c r="A39" s="21" t="inlineStr">
        <is>
          <t>129-130</t>
        </is>
      </c>
      <c r="B39" s="21" t="inlineStr">
        <is>
          <t>-3</t>
        </is>
      </c>
      <c r="C39" s="21" t="inlineStr">
        <is>
          <t>-2</t>
        </is>
      </c>
    </row>
    <row r="40">
      <c r="A40" s="21" t="inlineStr">
        <is>
          <t>131-132</t>
        </is>
      </c>
      <c r="B40" s="21" t="inlineStr">
        <is>
          <t>-4</t>
        </is>
      </c>
      <c r="C40" s="21" t="inlineStr">
        <is>
          <t>-3</t>
        </is>
      </c>
    </row>
    <row r="41">
      <c r="A41" s="21" t="inlineStr">
        <is>
          <t>133-134</t>
        </is>
      </c>
      <c r="B41" s="21" t="inlineStr">
        <is>
          <t>-5</t>
        </is>
      </c>
      <c r="C41" s="21" t="inlineStr">
        <is>
          <t>-3</t>
        </is>
      </c>
    </row>
    <row r="42">
      <c r="A42" s="21" t="inlineStr">
        <is>
          <t>135</t>
        </is>
      </c>
      <c r="B42" s="21" t="inlineStr">
        <is>
          <t>-5</t>
        </is>
      </c>
      <c r="C42" s="21" t="inlineStr">
        <is>
          <t>-4</t>
        </is>
      </c>
    </row>
    <row r="43">
      <c r="A43" s="21" t="inlineStr">
        <is>
          <t>136-137</t>
        </is>
      </c>
      <c r="B43" s="21" t="inlineStr">
        <is>
          <t>-6</t>
        </is>
      </c>
      <c r="C43" s="21" t="inlineStr">
        <is>
          <t>-4</t>
        </is>
      </c>
    </row>
    <row r="44">
      <c r="A44" s="21" t="inlineStr">
        <is>
          <t>138-139</t>
        </is>
      </c>
      <c r="B44" s="21" t="inlineStr">
        <is>
          <t>-7</t>
        </is>
      </c>
      <c r="C44" s="21" t="inlineStr">
        <is>
          <t>-5</t>
        </is>
      </c>
    </row>
    <row r="45">
      <c r="A45" s="21" t="inlineStr">
        <is>
          <t>140-141</t>
        </is>
      </c>
      <c r="B45" s="21" t="inlineStr">
        <is>
          <t>-8</t>
        </is>
      </c>
      <c r="C45" s="21" t="inlineStr">
        <is>
          <t>-5</t>
        </is>
      </c>
    </row>
    <row r="46">
      <c r="A46" s="21" t="inlineStr">
        <is>
          <t>142</t>
        </is>
      </c>
      <c r="B46" s="21" t="inlineStr">
        <is>
          <t>-8</t>
        </is>
      </c>
      <c r="C46" s="21" t="inlineStr">
        <is>
          <t>-6</t>
        </is>
      </c>
    </row>
    <row r="47">
      <c r="A47" s="21" t="inlineStr">
        <is>
          <t>143-144</t>
        </is>
      </c>
      <c r="B47" s="21" t="inlineStr">
        <is>
          <t>-9</t>
        </is>
      </c>
      <c r="C47" s="21" t="inlineStr">
        <is>
          <t>-6</t>
        </is>
      </c>
    </row>
    <row r="48">
      <c r="A48" s="21" t="inlineStr">
        <is>
          <t>145</t>
        </is>
      </c>
      <c r="B48" s="21" t="inlineStr">
        <is>
          <t>-9</t>
        </is>
      </c>
      <c r="C48" s="21" t="inlineStr">
        <is>
          <t>-7</t>
        </is>
      </c>
    </row>
    <row r="49">
      <c r="A49" s="21" t="inlineStr">
        <is>
          <t>146-147</t>
        </is>
      </c>
      <c r="B49" s="21" t="inlineStr">
        <is>
          <t>-10</t>
        </is>
      </c>
      <c r="C49" s="21" t="inlineStr">
        <is>
          <t>-7</t>
        </is>
      </c>
    </row>
    <row r="50">
      <c r="A50" s="21" t="inlineStr">
        <is>
          <t>148-150</t>
        </is>
      </c>
      <c r="B50" s="21" t="inlineStr">
        <is>
          <t>-10 to -11</t>
        </is>
      </c>
      <c r="C50" s="21" t="inlineStr">
        <is>
          <t>-7 to -8</t>
        </is>
      </c>
    </row>
    <row r="51">
      <c r="A51" s="21" t="inlineStr">
        <is>
          <t>151-153</t>
        </is>
      </c>
      <c r="B51" s="21" t="inlineStr">
        <is>
          <t>-11 to -12</t>
        </is>
      </c>
      <c r="C51" s="21" t="inlineStr">
        <is>
          <t>-8 to -9</t>
        </is>
      </c>
    </row>
    <row r="52">
      <c r="A52" s="21" t="inlineStr">
        <is>
          <t>154-156</t>
        </is>
      </c>
      <c r="B52" s="21" t="inlineStr">
        <is>
          <t>-13</t>
        </is>
      </c>
      <c r="C52" s="21" t="inlineStr">
        <is>
          <t>-9</t>
        </is>
      </c>
    </row>
    <row r="53">
      <c r="A53" s="21" t="inlineStr">
        <is>
          <t>157-158</t>
        </is>
      </c>
      <c r="B53" s="21" t="inlineStr">
        <is>
          <t>-14</t>
        </is>
      </c>
      <c r="C53" s="21" t="inlineStr">
        <is>
          <t>-10</t>
        </is>
      </c>
    </row>
    <row r="54">
      <c r="A54" s="21" t="inlineStr">
        <is>
          <t>159-161</t>
        </is>
      </c>
      <c r="B54" s="21" t="inlineStr">
        <is>
          <t>-15</t>
        </is>
      </c>
      <c r="C54" s="21" t="inlineStr">
        <is>
          <t>-10</t>
        </is>
      </c>
    </row>
    <row r="55">
      <c r="A55" s="21" t="inlineStr">
        <is>
          <t>162-163</t>
        </is>
      </c>
      <c r="B55" s="21" t="inlineStr">
        <is>
          <t>-16</t>
        </is>
      </c>
      <c r="C55" s="21" t="inlineStr">
        <is>
          <t>-11</t>
        </is>
      </c>
    </row>
    <row r="56">
      <c r="A56" s="21" t="inlineStr">
        <is>
          <t>164-166</t>
        </is>
      </c>
      <c r="B56" s="21" t="inlineStr">
        <is>
          <t>-17</t>
        </is>
      </c>
      <c r="C56" s="21" t="inlineStr">
        <is>
          <t>-11 to -12</t>
        </is>
      </c>
    </row>
    <row r="57">
      <c r="A57" s="21" t="inlineStr">
        <is>
          <t>167-168</t>
        </is>
      </c>
      <c r="B57" s="21" t="inlineStr">
        <is>
          <t>-18</t>
        </is>
      </c>
      <c r="C57" s="21" t="inlineStr">
        <is>
          <t>-12</t>
        </is>
      </c>
    </row>
    <row r="58">
      <c r="A58" s="21" t="inlineStr">
        <is>
          <t>169-171</t>
        </is>
      </c>
      <c r="B58" s="21" t="inlineStr">
        <is>
          <t>-19</t>
        </is>
      </c>
      <c r="C58" s="21" t="inlineStr">
        <is>
          <t>-12 to -13</t>
        </is>
      </c>
    </row>
    <row r="59">
      <c r="A59" s="21" t="inlineStr">
        <is>
          <t>172-178</t>
        </is>
      </c>
      <c r="B59" s="21" t="inlineStr">
        <is>
          <t>-20</t>
        </is>
      </c>
      <c r="C59" s="21" t="inlineStr">
        <is>
          <t>-13 to -14</t>
        </is>
      </c>
    </row>
    <row r="62">
      <c r="A62" s="10" t="inlineStr">
        <is>
          <t>INPATIENT ADJUSTMENT (Table 5)</t>
        </is>
      </c>
    </row>
    <row r="63">
      <c r="A63" s="32" t="inlineStr">
        <is>
          <t>Duration</t>
        </is>
      </c>
      <c r="B63" s="32" t="inlineStr">
        <is>
          <t>SS Adj</t>
        </is>
      </c>
      <c r="C63" s="32" t="inlineStr">
        <is>
          <t>CC Adj</t>
        </is>
      </c>
      <c r="D63" s="32" t="inlineStr">
        <is>
          <t>PP Adj</t>
        </is>
      </c>
    </row>
    <row r="64">
      <c r="A64" t="inlineStr">
        <is>
          <t>&lt; 1 week</t>
        </is>
      </c>
      <c r="B64" t="inlineStr">
        <is>
          <t>+6</t>
        </is>
      </c>
      <c r="C64" t="inlineStr">
        <is>
          <t>+10</t>
        </is>
      </c>
      <c r="D64" t="inlineStr">
        <is>
          <t>+4</t>
        </is>
      </c>
    </row>
    <row r="65">
      <c r="A65" t="inlineStr">
        <is>
          <t>1-4 weeks</t>
        </is>
      </c>
      <c r="B65" t="inlineStr">
        <is>
          <t>+4</t>
        </is>
      </c>
      <c r="C65" t="inlineStr">
        <is>
          <t>+8</t>
        </is>
      </c>
      <c r="D65" t="inlineStr">
        <is>
          <t>+2</t>
        </is>
      </c>
    </row>
    <row r="66">
      <c r="A66" t="inlineStr">
        <is>
          <t>&gt; 4 weeks</t>
        </is>
      </c>
      <c r="B66" t="inlineStr">
        <is>
          <t>0</t>
        </is>
      </c>
      <c r="C66" t="inlineStr">
        <is>
          <t>0</t>
        </is>
      </c>
      <c r="D66" t="inlineStr">
        <is>
          <t>0</t>
        </is>
      </c>
    </row>
    <row r="67">
      <c r="A67" t="inlineStr">
        <is>
          <t>Not inpatient</t>
        </is>
      </c>
      <c r="B67" t="inlineStr">
        <is>
          <t>0</t>
        </is>
      </c>
      <c r="C67" t="inlineStr">
        <is>
          <t>0</t>
        </is>
      </c>
      <c r="D67" t="inlineStr">
        <is>
          <t>0</t>
        </is>
      </c>
    </row>
    <row r="70">
      <c r="A70" s="10" t="inlineStr">
        <is>
          <t>A/D ADJUSTMENT (Tables 2-4)</t>
        </is>
      </c>
    </row>
    <row r="71">
      <c r="A71" t="inlineStr">
        <is>
          <t>Affects: Scales 2A, 2B, 8B, S, C</t>
        </is>
      </c>
    </row>
    <row r="72">
      <c r="A72" t="inlineStr">
        <is>
          <t>If A BR &lt; 75 AND D BR &lt; 75: No adjustment</t>
        </is>
      </c>
    </row>
    <row r="73">
      <c r="A73" t="inlineStr">
        <is>
          <t>If A BR &gt;= 75: A/D value = A - 75</t>
        </is>
      </c>
    </row>
    <row r="74">
      <c r="A74" t="inlineStr">
        <is>
          <t>If D BR &gt;= 75: A/D value = D - 75</t>
        </is>
      </c>
    </row>
    <row r="75">
      <c r="A75" t="inlineStr">
        <is>
          <t>If both &gt;= 75: A/D value = (A-75) + (D-75)</t>
        </is>
      </c>
    </row>
    <row r="76">
      <c r="A76" t="inlineStr">
        <is>
          <t>Use Table 2 for OPD; Table 3 for IPD &lt; 1wk; Table 4 for IPD 1-4wk</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2026-07-21T11:32:23Z</dcterms:created>
  <dcterms:modified xsi:type="dcterms:W3CDTF">2026-07-21T11:33:06Z</dcterms:modified>
</cp:coreProperties>
</file>