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CMI-III"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4"/>
    </font>
    <font>
      <b val="1"/>
      <sz val="11"/>
    </font>
    <font>
      <i val="1"/>
      <color rgb="00888888"/>
      <sz val="9"/>
    </font>
    <font>
      <b val="1"/>
      <color rgb="00FFFFFF"/>
      <sz val="11"/>
    </font>
    <font/>
    <font>
      <b val="1"/>
      <color rgb="00C00000"/>
      <sz val="13"/>
    </font>
    <font>
      <b val="1"/>
      <color rgb="00C00000"/>
    </font>
    <font>
      <b val="1"/>
      <sz val="12"/>
    </font>
  </fonts>
  <fills count="4">
    <fill>
      <patternFill/>
    </fill>
    <fill>
      <patternFill patternType="gray125"/>
    </fill>
    <fill>
      <patternFill patternType="solid">
        <fgColor rgb="00FFFDE6"/>
      </patternFill>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0" fillId="2" borderId="1" pivotButton="0" quotePrefix="0" xfId="0"/>
    <xf numFmtId="0" fontId="3" fillId="0" borderId="0" pivotButton="0" quotePrefix="0" xfId="0"/>
    <xf numFmtId="0" fontId="4" fillId="3" borderId="0" applyAlignment="1" pivotButton="0" quotePrefix="0" xfId="0">
      <alignment horizontal="center" vertical="center"/>
    </xf>
    <xf numFmtId="0" fontId="5" fillId="0" borderId="0" applyAlignment="1" pivotButton="0" quotePrefix="0" xfId="0">
      <alignment horizontal="center" vertical="center"/>
    </xf>
    <xf numFmtId="0" fontId="0" fillId="0" borderId="0" applyAlignment="1" pivotButton="0" quotePrefix="0" xfId="0">
      <alignment horizontal="center" vertical="center"/>
    </xf>
    <xf numFmtId="0" fontId="0" fillId="2" borderId="1" applyAlignment="1" pivotButton="0" quotePrefix="0" xfId="0">
      <alignment horizontal="center" vertical="center"/>
    </xf>
    <xf numFmtId="0" fontId="6" fillId="0" borderId="0" pivotButton="0" quotePrefix="0" xfId="0"/>
    <xf numFmtId="0" fontId="7" fillId="0" borderId="0" pivotButton="0" quotePrefix="0" xfId="0"/>
    <xf numFmtId="0" fontId="8" fillId="0" borderId="0" pivotButton="0" quotePrefix="0" xfId="0"/>
    <xf numFmtId="0" fontId="4" fillId="3" borderId="1" applyAlignment="1" pivotButton="0" quotePrefix="0" xfId="0">
      <alignment horizontal="center" vertical="center"/>
    </xf>
    <xf numFmtId="0" fontId="2" fillId="0" borderId="1" pivotButton="0" quotePrefix="0" xfId="0"/>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dxfs count="4">
    <dxf>
      <font>
        <b val="1"/>
        <color rgb="00FFFFFF"/>
      </font>
      <fill>
        <patternFill patternType="solid">
          <fgColor rgb="00FF0000"/>
        </patternFill>
      </fill>
    </dxf>
    <dxf>
      <font>
        <b val="1"/>
      </font>
      <fill>
        <patternFill patternType="solid">
          <fgColor rgb="00FF8C00"/>
        </patternFill>
      </fill>
    </dxf>
    <dxf>
      <fill>
        <patternFill patternType="solid">
          <fgColor rgb="00FFFF00"/>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4" customWidth="1" min="3" max="3"/>
    <col width="7" customWidth="1" min="4" max="4"/>
    <col width="10" customWidth="1" min="5" max="5"/>
    <col width="4" customWidth="1" min="6" max="6"/>
    <col width="7" customWidth="1" min="7" max="7"/>
    <col width="10" customWidth="1" min="8" max="8"/>
  </cols>
  <sheetData>
    <row r="1">
      <c r="A1" s="1" t="inlineStr">
        <is>
          <t>MCMI-III AUTO-SCORING</t>
        </is>
      </c>
      <c r="D1" s="2" t="inlineStr">
        <is>
          <t>Age:</t>
        </is>
      </c>
      <c r="E1" s="3" t="inlineStr"/>
      <c r="F1" s="2" t="inlineStr">
        <is>
          <t>Setting:</t>
        </is>
      </c>
      <c r="G1" s="3" t="inlineStr">
        <is>
          <t>OPD</t>
        </is>
      </c>
    </row>
    <row r="2">
      <c r="A2" s="4" t="inlineStr">
        <is>
          <t>Enter T or F in column B</t>
        </is>
      </c>
      <c r="D2" s="2" t="inlineStr">
        <is>
          <t>Axis I wks:</t>
        </is>
      </c>
      <c r="E2" s="3" t="inlineStr"/>
      <c r="F2" s="4" t="inlineStr">
        <is>
          <t>(for IPD)</t>
        </is>
      </c>
    </row>
    <row r="4">
      <c r="A4" s="5" t="inlineStr">
        <is>
          <t>Item</t>
        </is>
      </c>
      <c r="B4" s="5" t="inlineStr">
        <is>
          <t>Resp</t>
        </is>
      </c>
      <c r="D4" s="6" t="inlineStr">
        <is>
          <t>Item</t>
        </is>
      </c>
      <c r="E4" s="6" t="inlineStr">
        <is>
          <t>Resp</t>
        </is>
      </c>
      <c r="G4" s="6" t="inlineStr">
        <is>
          <t>Item</t>
        </is>
      </c>
      <c r="H4" s="6" t="inlineStr">
        <is>
          <t>Resp</t>
        </is>
      </c>
    </row>
    <row r="5">
      <c r="A5" s="7" t="n">
        <v>1</v>
      </c>
      <c r="B5" s="8" t="n"/>
      <c r="D5" s="7" t="n">
        <v>61</v>
      </c>
      <c r="E5" s="8" t="n"/>
      <c r="G5" s="7" t="n">
        <v>121</v>
      </c>
      <c r="H5" s="8" t="n"/>
    </row>
    <row r="6">
      <c r="A6" s="7" t="n">
        <v>2</v>
      </c>
      <c r="B6" s="8" t="n"/>
      <c r="D6" s="7" t="n">
        <v>62</v>
      </c>
      <c r="E6" s="8" t="n"/>
      <c r="G6" s="7" t="n">
        <v>122</v>
      </c>
      <c r="H6" s="8" t="n"/>
    </row>
    <row r="7">
      <c r="A7" s="7" t="n">
        <v>3</v>
      </c>
      <c r="B7" s="8" t="n"/>
      <c r="D7" s="7" t="n">
        <v>63</v>
      </c>
      <c r="E7" s="8" t="n"/>
      <c r="G7" s="7" t="n">
        <v>123</v>
      </c>
      <c r="H7" s="8" t="n"/>
    </row>
    <row r="8">
      <c r="A8" s="7" t="n">
        <v>4</v>
      </c>
      <c r="B8" s="8" t="n"/>
      <c r="D8" s="7" t="n">
        <v>64</v>
      </c>
      <c r="E8" s="8" t="n"/>
      <c r="G8" s="7" t="n">
        <v>124</v>
      </c>
      <c r="H8" s="8" t="n"/>
    </row>
    <row r="9">
      <c r="A9" s="7" t="n">
        <v>5</v>
      </c>
      <c r="B9" s="8" t="n"/>
      <c r="D9" s="7" t="n">
        <v>65</v>
      </c>
      <c r="E9" s="8" t="n"/>
      <c r="G9" s="7" t="n">
        <v>125</v>
      </c>
      <c r="H9" s="8" t="n"/>
    </row>
    <row r="10">
      <c r="A10" s="7" t="n">
        <v>6</v>
      </c>
      <c r="B10" s="8" t="n"/>
      <c r="D10" s="7" t="n">
        <v>66</v>
      </c>
      <c r="E10" s="8" t="n"/>
      <c r="G10" s="7" t="n">
        <v>126</v>
      </c>
      <c r="H10" s="8" t="n"/>
    </row>
    <row r="11">
      <c r="A11" s="7" t="n">
        <v>7</v>
      </c>
      <c r="B11" s="8" t="n"/>
      <c r="D11" s="7" t="n">
        <v>67</v>
      </c>
      <c r="E11" s="8" t="n"/>
      <c r="G11" s="7" t="n">
        <v>127</v>
      </c>
      <c r="H11" s="8" t="n"/>
    </row>
    <row r="12">
      <c r="A12" s="7" t="n">
        <v>8</v>
      </c>
      <c r="B12" s="8" t="n"/>
      <c r="D12" s="7" t="n">
        <v>68</v>
      </c>
      <c r="E12" s="8" t="n"/>
      <c r="G12" s="7" t="n">
        <v>128</v>
      </c>
      <c r="H12" s="8" t="n"/>
    </row>
    <row r="13">
      <c r="A13" s="7" t="n">
        <v>9</v>
      </c>
      <c r="B13" s="8" t="n"/>
      <c r="D13" s="7" t="n">
        <v>69</v>
      </c>
      <c r="E13" s="8" t="n"/>
      <c r="G13" s="7" t="n">
        <v>129</v>
      </c>
      <c r="H13" s="8" t="n"/>
    </row>
    <row r="14">
      <c r="A14" s="7" t="n">
        <v>10</v>
      </c>
      <c r="B14" s="8" t="n"/>
      <c r="D14" s="7" t="n">
        <v>70</v>
      </c>
      <c r="E14" s="8" t="n"/>
      <c r="G14" s="7" t="n">
        <v>130</v>
      </c>
      <c r="H14" s="8" t="n"/>
    </row>
    <row r="15">
      <c r="A15" s="7" t="n">
        <v>11</v>
      </c>
      <c r="B15" s="8" t="n"/>
      <c r="D15" s="7" t="n">
        <v>71</v>
      </c>
      <c r="E15" s="8" t="n"/>
      <c r="G15" s="7" t="n">
        <v>131</v>
      </c>
      <c r="H15" s="8" t="n"/>
    </row>
    <row r="16">
      <c r="A16" s="7" t="n">
        <v>12</v>
      </c>
      <c r="B16" s="8" t="n"/>
      <c r="D16" s="7" t="n">
        <v>72</v>
      </c>
      <c r="E16" s="8" t="n"/>
      <c r="G16" s="7" t="n">
        <v>132</v>
      </c>
      <c r="H16" s="8" t="n"/>
    </row>
    <row r="17">
      <c r="A17" s="7" t="n">
        <v>13</v>
      </c>
      <c r="B17" s="8" t="n"/>
      <c r="D17" s="7" t="n">
        <v>73</v>
      </c>
      <c r="E17" s="8" t="n"/>
      <c r="G17" s="7" t="n">
        <v>133</v>
      </c>
      <c r="H17" s="8" t="n"/>
    </row>
    <row r="18">
      <c r="A18" s="7" t="n">
        <v>14</v>
      </c>
      <c r="B18" s="8" t="n"/>
      <c r="D18" s="7" t="n">
        <v>74</v>
      </c>
      <c r="E18" s="8" t="n"/>
      <c r="G18" s="7" t="n">
        <v>134</v>
      </c>
      <c r="H18" s="8" t="n"/>
    </row>
    <row r="19">
      <c r="A19" s="7" t="n">
        <v>15</v>
      </c>
      <c r="B19" s="8" t="n"/>
      <c r="D19" s="7" t="n">
        <v>75</v>
      </c>
      <c r="E19" s="8" t="n"/>
      <c r="G19" s="7" t="n">
        <v>135</v>
      </c>
      <c r="H19" s="8" t="n"/>
    </row>
    <row r="20">
      <c r="A20" s="7" t="n">
        <v>16</v>
      </c>
      <c r="B20" s="8" t="n"/>
      <c r="D20" s="7" t="n">
        <v>76</v>
      </c>
      <c r="E20" s="8" t="n"/>
      <c r="G20" s="7" t="n">
        <v>136</v>
      </c>
      <c r="H20" s="8" t="n"/>
    </row>
    <row r="21">
      <c r="A21" s="7" t="n">
        <v>17</v>
      </c>
      <c r="B21" s="8" t="n"/>
      <c r="D21" s="7" t="n">
        <v>77</v>
      </c>
      <c r="E21" s="8" t="n"/>
      <c r="G21" s="7" t="n">
        <v>137</v>
      </c>
      <c r="H21" s="8" t="n"/>
    </row>
    <row r="22">
      <c r="A22" s="7" t="n">
        <v>18</v>
      </c>
      <c r="B22" s="8" t="n"/>
      <c r="D22" s="7" t="n">
        <v>78</v>
      </c>
      <c r="E22" s="8" t="n"/>
      <c r="G22" s="7" t="n">
        <v>138</v>
      </c>
      <c r="H22" s="8" t="n"/>
    </row>
    <row r="23">
      <c r="A23" s="7" t="n">
        <v>19</v>
      </c>
      <c r="B23" s="8" t="n"/>
      <c r="D23" s="7" t="n">
        <v>79</v>
      </c>
      <c r="E23" s="8" t="n"/>
      <c r="G23" s="7" t="n">
        <v>139</v>
      </c>
      <c r="H23" s="8" t="n"/>
    </row>
    <row r="24">
      <c r="A24" s="7" t="n">
        <v>20</v>
      </c>
      <c r="B24" s="8" t="n"/>
      <c r="D24" s="7" t="n">
        <v>80</v>
      </c>
      <c r="E24" s="8" t="n"/>
      <c r="G24" s="7" t="n">
        <v>140</v>
      </c>
      <c r="H24" s="8" t="n"/>
    </row>
    <row r="25">
      <c r="A25" s="7" t="n">
        <v>21</v>
      </c>
      <c r="B25" s="8" t="n"/>
      <c r="D25" s="7" t="n">
        <v>81</v>
      </c>
      <c r="E25" s="8" t="n"/>
      <c r="G25" s="7" t="n">
        <v>141</v>
      </c>
      <c r="H25" s="8" t="n"/>
    </row>
    <row r="26">
      <c r="A26" s="7" t="n">
        <v>22</v>
      </c>
      <c r="B26" s="8" t="n"/>
      <c r="D26" s="7" t="n">
        <v>82</v>
      </c>
      <c r="E26" s="8" t="n"/>
      <c r="G26" s="7" t="n">
        <v>142</v>
      </c>
      <c r="H26" s="8" t="n"/>
    </row>
    <row r="27">
      <c r="A27" s="7" t="n">
        <v>23</v>
      </c>
      <c r="B27" s="8" t="n"/>
      <c r="D27" s="7" t="n">
        <v>83</v>
      </c>
      <c r="E27" s="8" t="n"/>
      <c r="G27" s="7" t="n">
        <v>143</v>
      </c>
      <c r="H27" s="8" t="n"/>
    </row>
    <row r="28">
      <c r="A28" s="7" t="n">
        <v>24</v>
      </c>
      <c r="B28" s="8" t="n"/>
      <c r="D28" s="7" t="n">
        <v>84</v>
      </c>
      <c r="E28" s="8" t="n"/>
      <c r="G28" s="7" t="n">
        <v>144</v>
      </c>
      <c r="H28" s="8" t="n"/>
    </row>
    <row r="29">
      <c r="A29" s="7" t="n">
        <v>25</v>
      </c>
      <c r="B29" s="8" t="n"/>
      <c r="D29" s="7" t="n">
        <v>85</v>
      </c>
      <c r="E29" s="8" t="n"/>
      <c r="G29" s="7" t="n">
        <v>145</v>
      </c>
      <c r="H29" s="8" t="n"/>
    </row>
    <row r="30">
      <c r="A30" s="7" t="n">
        <v>26</v>
      </c>
      <c r="B30" s="8" t="n"/>
      <c r="D30" s="7" t="n">
        <v>86</v>
      </c>
      <c r="E30" s="8" t="n"/>
      <c r="G30" s="7" t="n">
        <v>146</v>
      </c>
      <c r="H30" s="8" t="n"/>
    </row>
    <row r="31">
      <c r="A31" s="7" t="n">
        <v>27</v>
      </c>
      <c r="B31" s="8" t="n"/>
      <c r="D31" s="7" t="n">
        <v>87</v>
      </c>
      <c r="E31" s="8" t="n"/>
      <c r="G31" s="7" t="n">
        <v>147</v>
      </c>
      <c r="H31" s="8" t="n"/>
    </row>
    <row r="32">
      <c r="A32" s="7" t="n">
        <v>28</v>
      </c>
      <c r="B32" s="8" t="n"/>
      <c r="D32" s="7" t="n">
        <v>88</v>
      </c>
      <c r="E32" s="8" t="n"/>
      <c r="G32" s="7" t="n">
        <v>148</v>
      </c>
      <c r="H32" s="8" t="n"/>
    </row>
    <row r="33">
      <c r="A33" s="7" t="n">
        <v>29</v>
      </c>
      <c r="B33" s="8" t="n"/>
      <c r="D33" s="7" t="n">
        <v>89</v>
      </c>
      <c r="E33" s="8" t="n"/>
      <c r="G33" s="7" t="n">
        <v>149</v>
      </c>
      <c r="H33" s="8" t="n"/>
    </row>
    <row r="34">
      <c r="A34" s="7" t="n">
        <v>30</v>
      </c>
      <c r="B34" s="8" t="n"/>
      <c r="D34" s="7" t="n">
        <v>90</v>
      </c>
      <c r="E34" s="8" t="n"/>
      <c r="G34" s="7" t="n">
        <v>150</v>
      </c>
      <c r="H34" s="8" t="n"/>
    </row>
    <row r="35">
      <c r="A35" s="7" t="n">
        <v>31</v>
      </c>
      <c r="B35" s="8" t="n"/>
      <c r="D35" s="7" t="n">
        <v>91</v>
      </c>
      <c r="E35" s="8" t="n"/>
      <c r="G35" s="7" t="n">
        <v>151</v>
      </c>
      <c r="H35" s="8" t="n"/>
    </row>
    <row r="36">
      <c r="A36" s="7" t="n">
        <v>32</v>
      </c>
      <c r="B36" s="8" t="n"/>
      <c r="D36" s="7" t="n">
        <v>92</v>
      </c>
      <c r="E36" s="8" t="n"/>
      <c r="G36" s="7" t="n">
        <v>152</v>
      </c>
      <c r="H36" s="8" t="n"/>
    </row>
    <row r="37">
      <c r="A37" s="7" t="n">
        <v>33</v>
      </c>
      <c r="B37" s="8" t="n"/>
      <c r="D37" s="7" t="n">
        <v>93</v>
      </c>
      <c r="E37" s="8" t="n"/>
      <c r="G37" s="7" t="n">
        <v>153</v>
      </c>
      <c r="H37" s="8" t="n"/>
    </row>
    <row r="38">
      <c r="A38" s="7" t="n">
        <v>34</v>
      </c>
      <c r="B38" s="8" t="n"/>
      <c r="D38" s="7" t="n">
        <v>94</v>
      </c>
      <c r="E38" s="8" t="n"/>
      <c r="G38" s="7" t="n">
        <v>154</v>
      </c>
      <c r="H38" s="8" t="n"/>
    </row>
    <row r="39">
      <c r="A39" s="7" t="n">
        <v>35</v>
      </c>
      <c r="B39" s="8" t="n"/>
      <c r="D39" s="7" t="n">
        <v>95</v>
      </c>
      <c r="E39" s="8" t="n"/>
      <c r="G39" s="7" t="n">
        <v>155</v>
      </c>
      <c r="H39" s="8" t="n"/>
    </row>
    <row r="40">
      <c r="A40" s="7" t="n">
        <v>36</v>
      </c>
      <c r="B40" s="8" t="n"/>
      <c r="D40" s="7" t="n">
        <v>96</v>
      </c>
      <c r="E40" s="8" t="n"/>
      <c r="G40" s="7" t="n">
        <v>156</v>
      </c>
      <c r="H40" s="8" t="n"/>
    </row>
    <row r="41">
      <c r="A41" s="7" t="n">
        <v>37</v>
      </c>
      <c r="B41" s="8" t="n"/>
      <c r="D41" s="7" t="n">
        <v>97</v>
      </c>
      <c r="E41" s="8" t="n"/>
      <c r="G41" s="7" t="n">
        <v>157</v>
      </c>
      <c r="H41" s="8" t="n"/>
    </row>
    <row r="42">
      <c r="A42" s="7" t="n">
        <v>38</v>
      </c>
      <c r="B42" s="8" t="n"/>
      <c r="D42" s="7" t="n">
        <v>98</v>
      </c>
      <c r="E42" s="8" t="n"/>
      <c r="G42" s="7" t="n">
        <v>158</v>
      </c>
      <c r="H42" s="8" t="n"/>
    </row>
    <row r="43">
      <c r="A43" s="7" t="n">
        <v>39</v>
      </c>
      <c r="B43" s="8" t="n"/>
      <c r="D43" s="7" t="n">
        <v>99</v>
      </c>
      <c r="E43" s="8" t="n"/>
      <c r="G43" s="7" t="n">
        <v>159</v>
      </c>
      <c r="H43" s="8" t="n"/>
    </row>
    <row r="44">
      <c r="A44" s="7" t="n">
        <v>40</v>
      </c>
      <c r="B44" s="8" t="n"/>
      <c r="D44" s="7" t="n">
        <v>100</v>
      </c>
      <c r="E44" s="8" t="n"/>
      <c r="G44" s="7" t="n">
        <v>160</v>
      </c>
      <c r="H44" s="8" t="n"/>
    </row>
    <row r="45">
      <c r="A45" s="7" t="n">
        <v>41</v>
      </c>
      <c r="B45" s="8" t="n"/>
      <c r="D45" s="7" t="n">
        <v>101</v>
      </c>
      <c r="E45" s="8" t="n"/>
      <c r="G45" s="7" t="n">
        <v>161</v>
      </c>
      <c r="H45" s="8" t="n"/>
    </row>
    <row r="46">
      <c r="A46" s="7" t="n">
        <v>42</v>
      </c>
      <c r="B46" s="8" t="n"/>
      <c r="D46" s="7" t="n">
        <v>102</v>
      </c>
      <c r="E46" s="8" t="n"/>
      <c r="G46" s="7" t="n">
        <v>162</v>
      </c>
      <c r="H46" s="8" t="n"/>
    </row>
    <row r="47">
      <c r="A47" s="7" t="n">
        <v>43</v>
      </c>
      <c r="B47" s="8" t="n"/>
      <c r="D47" s="7" t="n">
        <v>103</v>
      </c>
      <c r="E47" s="8" t="n"/>
      <c r="G47" s="7" t="n">
        <v>163</v>
      </c>
      <c r="H47" s="8" t="n"/>
    </row>
    <row r="48">
      <c r="A48" s="7" t="n">
        <v>44</v>
      </c>
      <c r="B48" s="8" t="n"/>
      <c r="D48" s="7" t="n">
        <v>104</v>
      </c>
      <c r="E48" s="8" t="n"/>
      <c r="G48" s="7" t="n">
        <v>164</v>
      </c>
      <c r="H48" s="8" t="n"/>
    </row>
    <row r="49">
      <c r="A49" s="7" t="n">
        <v>45</v>
      </c>
      <c r="B49" s="8" t="n"/>
      <c r="D49" s="7" t="n">
        <v>105</v>
      </c>
      <c r="E49" s="8" t="n"/>
      <c r="G49" s="7" t="n">
        <v>165</v>
      </c>
      <c r="H49" s="8" t="n"/>
    </row>
    <row r="50">
      <c r="A50" s="7" t="n">
        <v>46</v>
      </c>
      <c r="B50" s="8" t="n"/>
      <c r="D50" s="7" t="n">
        <v>106</v>
      </c>
      <c r="E50" s="8" t="n"/>
      <c r="G50" s="7" t="n">
        <v>166</v>
      </c>
      <c r="H50" s="8" t="n"/>
    </row>
    <row r="51">
      <c r="A51" s="7" t="n">
        <v>47</v>
      </c>
      <c r="B51" s="8" t="n"/>
      <c r="D51" s="7" t="n">
        <v>107</v>
      </c>
      <c r="E51" s="8" t="n"/>
      <c r="G51" s="7" t="n">
        <v>167</v>
      </c>
      <c r="H51" s="8" t="n"/>
    </row>
    <row r="52">
      <c r="A52" s="7" t="n">
        <v>48</v>
      </c>
      <c r="B52" s="8" t="n"/>
      <c r="D52" s="7" t="n">
        <v>108</v>
      </c>
      <c r="E52" s="8" t="n"/>
      <c r="G52" s="7" t="n">
        <v>168</v>
      </c>
      <c r="H52" s="8" t="n"/>
    </row>
    <row r="53">
      <c r="A53" s="7" t="n">
        <v>49</v>
      </c>
      <c r="B53" s="8" t="n"/>
      <c r="D53" s="7" t="n">
        <v>109</v>
      </c>
      <c r="E53" s="8" t="n"/>
      <c r="G53" s="7" t="n">
        <v>169</v>
      </c>
      <c r="H53" s="8" t="n"/>
    </row>
    <row r="54">
      <c r="A54" s="7" t="n">
        <v>50</v>
      </c>
      <c r="B54" s="8" t="n"/>
      <c r="D54" s="7" t="n">
        <v>110</v>
      </c>
      <c r="E54" s="8" t="n"/>
      <c r="G54" s="7" t="n">
        <v>170</v>
      </c>
      <c r="H54" s="8" t="n"/>
    </row>
    <row r="55">
      <c r="A55" s="7" t="n">
        <v>51</v>
      </c>
      <c r="B55" s="8" t="n"/>
      <c r="D55" s="7" t="n">
        <v>111</v>
      </c>
      <c r="E55" s="8" t="n"/>
      <c r="G55" s="7" t="n">
        <v>171</v>
      </c>
      <c r="H55" s="8" t="n"/>
    </row>
    <row r="56">
      <c r="A56" s="7" t="n">
        <v>52</v>
      </c>
      <c r="B56" s="8" t="n"/>
      <c r="D56" s="7" t="n">
        <v>112</v>
      </c>
      <c r="E56" s="8" t="n"/>
      <c r="G56" s="7" t="n">
        <v>172</v>
      </c>
      <c r="H56" s="8" t="n"/>
    </row>
    <row r="57">
      <c r="A57" s="7" t="n">
        <v>53</v>
      </c>
      <c r="B57" s="8" t="n"/>
      <c r="D57" s="7" t="n">
        <v>113</v>
      </c>
      <c r="E57" s="8" t="n"/>
      <c r="G57" s="7" t="n">
        <v>173</v>
      </c>
      <c r="H57" s="8" t="n"/>
    </row>
    <row r="58">
      <c r="A58" s="7" t="n">
        <v>54</v>
      </c>
      <c r="B58" s="8" t="n"/>
      <c r="D58" s="7" t="n">
        <v>114</v>
      </c>
      <c r="E58" s="8" t="n"/>
      <c r="G58" s="7" t="n">
        <v>174</v>
      </c>
      <c r="H58" s="8" t="n"/>
    </row>
    <row r="59">
      <c r="A59" s="7" t="n">
        <v>55</v>
      </c>
      <c r="B59" s="8" t="n"/>
      <c r="D59" s="7" t="n">
        <v>115</v>
      </c>
      <c r="E59" s="8" t="n"/>
      <c r="G59" s="7" t="n">
        <v>175</v>
      </c>
      <c r="H59" s="8" t="n"/>
    </row>
    <row r="60">
      <c r="A60" s="7" t="n">
        <v>56</v>
      </c>
      <c r="B60" s="8" t="n"/>
      <c r="D60" s="7" t="n">
        <v>116</v>
      </c>
      <c r="E60" s="8" t="n"/>
    </row>
    <row r="61">
      <c r="A61" s="7" t="n">
        <v>57</v>
      </c>
      <c r="B61" s="8" t="n"/>
      <c r="D61" s="7" t="n">
        <v>117</v>
      </c>
      <c r="E61" s="8" t="n"/>
    </row>
    <row r="62">
      <c r="A62" s="7" t="n">
        <v>58</v>
      </c>
      <c r="B62" s="8" t="n"/>
      <c r="D62" s="7" t="n">
        <v>118</v>
      </c>
      <c r="E62" s="8" t="n"/>
    </row>
    <row r="63">
      <c r="A63" s="7" t="n">
        <v>59</v>
      </c>
      <c r="B63" s="8" t="n"/>
      <c r="D63" s="7" t="n">
        <v>119</v>
      </c>
      <c r="E63" s="8" t="n"/>
    </row>
    <row r="64">
      <c r="A64" s="7" t="n">
        <v>60</v>
      </c>
      <c r="B64" s="8" t="n"/>
      <c r="D64" s="7" t="n">
        <v>120</v>
      </c>
      <c r="E64" s="8" t="n"/>
    </row>
    <row r="65">
      <c r="A65" s="7" t="n">
        <v>61</v>
      </c>
      <c r="B65" s="8" t="n"/>
    </row>
    <row r="66">
      <c r="A66" s="7" t="n">
        <v>62</v>
      </c>
      <c r="B66" s="8" t="n"/>
    </row>
    <row r="67">
      <c r="A67" s="7" t="n">
        <v>63</v>
      </c>
      <c r="B67" s="8" t="n"/>
    </row>
    <row r="68">
      <c r="A68" s="7" t="n">
        <v>64</v>
      </c>
      <c r="B68" s="8" t="n"/>
    </row>
    <row r="69">
      <c r="A69" s="7" t="n">
        <v>65</v>
      </c>
      <c r="B69" s="8" t="n"/>
    </row>
    <row r="70">
      <c r="A70" s="7" t="n">
        <v>66</v>
      </c>
      <c r="B70" s="8" t="n"/>
    </row>
    <row r="71">
      <c r="A71" s="7" t="n">
        <v>67</v>
      </c>
      <c r="B71" s="8" t="n"/>
    </row>
    <row r="72">
      <c r="A72" s="7" t="n">
        <v>68</v>
      </c>
      <c r="B72" s="8" t="n"/>
    </row>
    <row r="73">
      <c r="A73" s="7" t="n">
        <v>69</v>
      </c>
      <c r="B73" s="8" t="n"/>
    </row>
    <row r="74">
      <c r="A74" s="7" t="n">
        <v>70</v>
      </c>
      <c r="B74" s="8" t="n"/>
    </row>
    <row r="75">
      <c r="A75" s="7" t="n">
        <v>71</v>
      </c>
      <c r="B75" s="8" t="n"/>
    </row>
    <row r="76">
      <c r="A76" s="7" t="n">
        <v>72</v>
      </c>
      <c r="B76" s="8" t="n"/>
    </row>
    <row r="77">
      <c r="A77" s="7" t="n">
        <v>73</v>
      </c>
      <c r="B77" s="8" t="n"/>
    </row>
    <row r="78">
      <c r="A78" s="7" t="n">
        <v>74</v>
      </c>
      <c r="B78" s="8" t="n"/>
    </row>
    <row r="79">
      <c r="A79" s="7" t="n">
        <v>75</v>
      </c>
      <c r="B79" s="8" t="n"/>
    </row>
    <row r="80">
      <c r="A80" s="7" t="n">
        <v>76</v>
      </c>
      <c r="B80" s="8" t="n"/>
    </row>
    <row r="81">
      <c r="A81" s="7" t="n">
        <v>77</v>
      </c>
      <c r="B81" s="8" t="n"/>
    </row>
    <row r="82">
      <c r="A82" s="7" t="n">
        <v>78</v>
      </c>
      <c r="B82" s="8" t="n"/>
    </row>
    <row r="83">
      <c r="A83" s="7" t="n">
        <v>79</v>
      </c>
      <c r="B83" s="8" t="n"/>
    </row>
    <row r="84">
      <c r="A84" s="7" t="n">
        <v>80</v>
      </c>
      <c r="B84" s="8" t="n"/>
    </row>
    <row r="85">
      <c r="A85" s="7" t="n">
        <v>81</v>
      </c>
      <c r="B85" s="8" t="n"/>
    </row>
    <row r="86">
      <c r="A86" s="7" t="n">
        <v>82</v>
      </c>
      <c r="B86" s="8" t="n"/>
    </row>
    <row r="87">
      <c r="A87" s="7" t="n">
        <v>83</v>
      </c>
      <c r="B87" s="8" t="n"/>
    </row>
    <row r="88">
      <c r="A88" s="7" t="n">
        <v>84</v>
      </c>
      <c r="B88" s="8" t="n"/>
    </row>
    <row r="89">
      <c r="A89" s="7" t="n">
        <v>85</v>
      </c>
      <c r="B89" s="8" t="n"/>
    </row>
    <row r="90">
      <c r="A90" s="7" t="n">
        <v>86</v>
      </c>
      <c r="B90" s="8" t="n"/>
    </row>
    <row r="91">
      <c r="A91" s="7" t="n">
        <v>87</v>
      </c>
      <c r="B91" s="8" t="n"/>
    </row>
    <row r="92">
      <c r="A92" s="7" t="n">
        <v>88</v>
      </c>
      <c r="B92" s="8" t="n"/>
    </row>
    <row r="93">
      <c r="A93" s="7" t="n">
        <v>89</v>
      </c>
      <c r="B93" s="8" t="n"/>
    </row>
    <row r="94">
      <c r="A94" s="7" t="n">
        <v>90</v>
      </c>
      <c r="B94" s="8" t="n"/>
    </row>
    <row r="95">
      <c r="A95" s="7" t="n">
        <v>91</v>
      </c>
      <c r="B95" s="8" t="n"/>
    </row>
    <row r="96">
      <c r="A96" s="7" t="n">
        <v>92</v>
      </c>
      <c r="B96" s="8" t="n"/>
    </row>
    <row r="97">
      <c r="A97" s="7" t="n">
        <v>93</v>
      </c>
      <c r="B97" s="8" t="n"/>
    </row>
    <row r="98">
      <c r="A98" s="7" t="n">
        <v>94</v>
      </c>
      <c r="B98" s="8" t="n"/>
    </row>
    <row r="99">
      <c r="A99" s="7" t="n">
        <v>95</v>
      </c>
      <c r="B99" s="8" t="n"/>
    </row>
    <row r="100">
      <c r="A100" s="7" t="n">
        <v>96</v>
      </c>
      <c r="B100" s="8" t="n"/>
    </row>
    <row r="101">
      <c r="A101" s="7" t="n">
        <v>97</v>
      </c>
      <c r="B101" s="8" t="n"/>
    </row>
    <row r="102">
      <c r="A102" s="7" t="n">
        <v>98</v>
      </c>
      <c r="B102" s="8" t="n"/>
    </row>
    <row r="103">
      <c r="A103" s="7" t="n">
        <v>99</v>
      </c>
      <c r="B103" s="8" t="n"/>
    </row>
    <row r="104">
      <c r="A104" s="7" t="n">
        <v>100</v>
      </c>
      <c r="B104" s="8" t="n"/>
    </row>
    <row r="105">
      <c r="A105" s="7" t="n">
        <v>101</v>
      </c>
      <c r="B105" s="8" t="n"/>
    </row>
    <row r="106">
      <c r="A106" s="7" t="n">
        <v>102</v>
      </c>
      <c r="B106" s="8" t="n"/>
    </row>
    <row r="107">
      <c r="A107" s="7" t="n">
        <v>103</v>
      </c>
      <c r="B107" s="8" t="n"/>
    </row>
    <row r="108">
      <c r="A108" s="7" t="n">
        <v>104</v>
      </c>
      <c r="B108" s="8" t="n"/>
    </row>
    <row r="109">
      <c r="A109" s="7" t="n">
        <v>105</v>
      </c>
      <c r="B109" s="8" t="n"/>
    </row>
    <row r="110">
      <c r="A110" s="7" t="n">
        <v>106</v>
      </c>
      <c r="B110" s="8" t="n"/>
    </row>
    <row r="111">
      <c r="A111" s="7" t="n">
        <v>107</v>
      </c>
      <c r="B111" s="8" t="n"/>
    </row>
    <row r="112">
      <c r="A112" s="7" t="n">
        <v>108</v>
      </c>
      <c r="B112" s="8" t="n"/>
    </row>
    <row r="113">
      <c r="A113" s="7" t="n">
        <v>109</v>
      </c>
      <c r="B113" s="8" t="n"/>
    </row>
    <row r="114">
      <c r="A114" s="7" t="n">
        <v>110</v>
      </c>
      <c r="B114" s="8" t="n"/>
    </row>
    <row r="115">
      <c r="A115" s="7" t="n">
        <v>111</v>
      </c>
      <c r="B115" s="8" t="n"/>
    </row>
    <row r="116">
      <c r="A116" s="7" t="n">
        <v>112</v>
      </c>
      <c r="B116" s="8" t="n"/>
    </row>
    <row r="117">
      <c r="A117" s="7" t="n">
        <v>113</v>
      </c>
      <c r="B117" s="8" t="n"/>
    </row>
    <row r="118">
      <c r="A118" s="7" t="n">
        <v>114</v>
      </c>
      <c r="B118" s="8" t="n"/>
    </row>
    <row r="119">
      <c r="A119" s="7" t="n">
        <v>115</v>
      </c>
      <c r="B119" s="8" t="n"/>
    </row>
    <row r="120">
      <c r="A120" s="7" t="n">
        <v>116</v>
      </c>
      <c r="B120" s="8" t="n"/>
    </row>
    <row r="121">
      <c r="A121" s="7" t="n">
        <v>117</v>
      </c>
      <c r="B121" s="8" t="n"/>
    </row>
    <row r="122">
      <c r="A122" s="7" t="n">
        <v>118</v>
      </c>
      <c r="B122" s="8" t="n"/>
    </row>
    <row r="123">
      <c r="A123" s="7" t="n">
        <v>119</v>
      </c>
      <c r="B123" s="8" t="n"/>
    </row>
    <row r="124">
      <c r="A124" s="7" t="n">
        <v>120</v>
      </c>
      <c r="B124" s="8" t="n"/>
    </row>
    <row r="125">
      <c r="A125" s="7" t="n">
        <v>121</v>
      </c>
      <c r="B125" s="8" t="n"/>
    </row>
    <row r="126">
      <c r="A126" s="7" t="n">
        <v>122</v>
      </c>
      <c r="B126" s="8" t="n"/>
    </row>
    <row r="127">
      <c r="A127" s="7" t="n">
        <v>123</v>
      </c>
      <c r="B127" s="8" t="n"/>
    </row>
    <row r="128">
      <c r="A128" s="7" t="n">
        <v>124</v>
      </c>
      <c r="B128" s="8" t="n"/>
    </row>
    <row r="129">
      <c r="A129" s="7" t="n">
        <v>125</v>
      </c>
      <c r="B129" s="8" t="n"/>
    </row>
    <row r="130">
      <c r="A130" s="7" t="n">
        <v>126</v>
      </c>
      <c r="B130" s="8" t="n"/>
    </row>
    <row r="131">
      <c r="A131" s="7" t="n">
        <v>127</v>
      </c>
      <c r="B131" s="8" t="n"/>
    </row>
    <row r="132">
      <c r="A132" s="7" t="n">
        <v>128</v>
      </c>
      <c r="B132" s="8" t="n"/>
    </row>
    <row r="133">
      <c r="A133" s="7" t="n">
        <v>129</v>
      </c>
      <c r="B133" s="8" t="n"/>
    </row>
    <row r="134">
      <c r="A134" s="7" t="n">
        <v>130</v>
      </c>
      <c r="B134" s="8" t="n"/>
    </row>
    <row r="135">
      <c r="A135" s="7" t="n">
        <v>131</v>
      </c>
      <c r="B135" s="8" t="n"/>
    </row>
    <row r="136">
      <c r="A136" s="7" t="n">
        <v>132</v>
      </c>
      <c r="B136" s="8" t="n"/>
    </row>
    <row r="137">
      <c r="A137" s="7" t="n">
        <v>133</v>
      </c>
      <c r="B137" s="8" t="n"/>
    </row>
    <row r="138">
      <c r="A138" s="7" t="n">
        <v>134</v>
      </c>
      <c r="B138" s="8" t="n"/>
    </row>
    <row r="139">
      <c r="A139" s="7" t="n">
        <v>135</v>
      </c>
      <c r="B139" s="8" t="n"/>
    </row>
    <row r="140">
      <c r="A140" s="7" t="n">
        <v>136</v>
      </c>
      <c r="B140" s="8" t="n"/>
    </row>
    <row r="141">
      <c r="A141" s="7" t="n">
        <v>137</v>
      </c>
      <c r="B141" s="8" t="n"/>
    </row>
    <row r="142">
      <c r="A142" s="7" t="n">
        <v>138</v>
      </c>
      <c r="B142" s="8" t="n"/>
    </row>
    <row r="143">
      <c r="A143" s="7" t="n">
        <v>139</v>
      </c>
      <c r="B143" s="8" t="n"/>
    </row>
    <row r="144">
      <c r="A144" s="7" t="n">
        <v>140</v>
      </c>
      <c r="B144" s="8" t="n"/>
    </row>
    <row r="145">
      <c r="A145" s="7" t="n">
        <v>141</v>
      </c>
      <c r="B145" s="8" t="n"/>
    </row>
    <row r="146">
      <c r="A146" s="7" t="n">
        <v>142</v>
      </c>
      <c r="B146" s="8" t="n"/>
    </row>
    <row r="147">
      <c r="A147" s="7" t="n">
        <v>143</v>
      </c>
      <c r="B147" s="8" t="n"/>
    </row>
    <row r="148">
      <c r="A148" s="7" t="n">
        <v>144</v>
      </c>
      <c r="B148" s="8" t="n"/>
    </row>
    <row r="149">
      <c r="A149" s="7" t="n">
        <v>145</v>
      </c>
      <c r="B149" s="8" t="n"/>
    </row>
    <row r="150">
      <c r="A150" s="7" t="n">
        <v>146</v>
      </c>
      <c r="B150" s="8" t="n"/>
    </row>
    <row r="151">
      <c r="A151" s="7" t="n">
        <v>147</v>
      </c>
      <c r="B151" s="8" t="n"/>
    </row>
    <row r="152">
      <c r="A152" s="7" t="n">
        <v>148</v>
      </c>
      <c r="B152" s="8" t="n"/>
    </row>
    <row r="153">
      <c r="A153" s="7" t="n">
        <v>149</v>
      </c>
      <c r="B153" s="8" t="n"/>
    </row>
    <row r="154">
      <c r="A154" s="7" t="n">
        <v>150</v>
      </c>
      <c r="B154" s="8" t="n"/>
    </row>
    <row r="155">
      <c r="A155" s="7" t="n">
        <v>151</v>
      </c>
      <c r="B155" s="8" t="n"/>
    </row>
    <row r="156">
      <c r="A156" s="7" t="n">
        <v>152</v>
      </c>
      <c r="B156" s="8" t="n"/>
    </row>
    <row r="157">
      <c r="A157" s="7" t="n">
        <v>153</v>
      </c>
      <c r="B157" s="8" t="n"/>
    </row>
    <row r="158">
      <c r="A158" s="7" t="n">
        <v>154</v>
      </c>
      <c r="B158" s="8" t="n"/>
    </row>
    <row r="159">
      <c r="A159" s="7" t="n">
        <v>155</v>
      </c>
      <c r="B159" s="8" t="n"/>
    </row>
    <row r="160">
      <c r="A160" s="7" t="n">
        <v>156</v>
      </c>
      <c r="B160" s="8" t="n"/>
    </row>
    <row r="161">
      <c r="A161" s="7" t="n">
        <v>157</v>
      </c>
      <c r="B161" s="8" t="n"/>
    </row>
    <row r="162">
      <c r="A162" s="7" t="n">
        <v>158</v>
      </c>
      <c r="B162" s="8" t="n"/>
    </row>
    <row r="163">
      <c r="A163" s="7" t="n">
        <v>159</v>
      </c>
      <c r="B163" s="8" t="n"/>
    </row>
    <row r="164">
      <c r="A164" s="7" t="n">
        <v>160</v>
      </c>
      <c r="B164" s="8" t="n"/>
    </row>
    <row r="165">
      <c r="A165" s="7" t="n">
        <v>161</v>
      </c>
      <c r="B165" s="8" t="n"/>
    </row>
    <row r="166">
      <c r="A166" s="7" t="n">
        <v>162</v>
      </c>
      <c r="B166" s="8" t="n"/>
    </row>
    <row r="167">
      <c r="A167" s="7" t="n">
        <v>163</v>
      </c>
      <c r="B167" s="8" t="n"/>
    </row>
    <row r="168">
      <c r="A168" s="7" t="n">
        <v>164</v>
      </c>
      <c r="B168" s="8" t="n"/>
    </row>
    <row r="169">
      <c r="A169" s="7" t="n">
        <v>165</v>
      </c>
      <c r="B169" s="8" t="n"/>
    </row>
    <row r="170">
      <c r="A170" s="7" t="n">
        <v>166</v>
      </c>
      <c r="B170" s="8" t="n"/>
    </row>
    <row r="171">
      <c r="A171" s="7" t="n">
        <v>167</v>
      </c>
      <c r="B171" s="8" t="n"/>
    </row>
    <row r="172">
      <c r="A172" s="7" t="n">
        <v>168</v>
      </c>
      <c r="B172" s="8" t="n"/>
    </row>
    <row r="173">
      <c r="A173" s="7" t="n">
        <v>169</v>
      </c>
      <c r="B173" s="8" t="n"/>
    </row>
    <row r="174">
      <c r="A174" s="7" t="n">
        <v>170</v>
      </c>
      <c r="B174" s="8" t="n"/>
    </row>
    <row r="175">
      <c r="A175" s="7" t="n">
        <v>171</v>
      </c>
      <c r="B175" s="8" t="n"/>
    </row>
    <row r="176">
      <c r="A176" s="7" t="n">
        <v>172</v>
      </c>
      <c r="B176" s="8" t="n"/>
    </row>
    <row r="177">
      <c r="A177" s="7" t="n">
        <v>173</v>
      </c>
      <c r="B177" s="8" t="n"/>
    </row>
    <row r="178">
      <c r="A178" s="7" t="n">
        <v>174</v>
      </c>
      <c r="B178" s="8" t="n"/>
    </row>
    <row r="179">
      <c r="A179" s="7" t="n">
        <v>175</v>
      </c>
      <c r="B179" s="8" t="n"/>
    </row>
    <row r="182">
      <c r="A182" s="1" t="inlineStr">
        <is>
          <t>VALIDITY CHECKS</t>
        </is>
      </c>
    </row>
    <row r="183">
      <c r="A183" s="2" t="inlineStr">
        <is>
          <t>Check</t>
        </is>
      </c>
      <c r="B183" s="2" t="inlineStr">
        <is>
          <t>Score</t>
        </is>
      </c>
      <c r="C183" s="2" t="inlineStr"/>
      <c r="D183" s="2" t="inlineStr">
        <is>
          <t>Status</t>
        </is>
      </c>
    </row>
    <row r="184">
      <c r="A184" t="inlineStr">
        <is>
          <t>Omits</t>
        </is>
      </c>
      <c r="B184">
        <f>175-COUNTA(B5:B179)</f>
        <v/>
      </c>
      <c r="D184">
        <f>IF(B184&gt;11,"INVALID","OK")</f>
        <v/>
      </c>
    </row>
    <row r="185">
      <c r="A185" t="inlineStr">
        <is>
          <t>V (Invalidity)</t>
        </is>
      </c>
      <c r="B185">
        <f>IF(B69="T",1,0)+IF(B114="T",1,0)+IF(B161="T",1,0)</f>
        <v/>
      </c>
      <c r="D185">
        <f>IF(B185&gt;=2,"INVALID",IF(B185=1,"CAUTION","OK"))</f>
        <v/>
      </c>
    </row>
    <row r="186">
      <c r="A186" t="inlineStr">
        <is>
          <t>W (Inconsistency)</t>
        </is>
      </c>
      <c r="B186">
        <f>IF(AND(B7="T",B153="T"),1,0)+IF(AND(B14="T",B169="T"),1,0)+IF(AND(B18="T",B98="T"),1,0)+IF(AND(B19="T",B65="T"),1,0)+IF(AND(B23="T",B154="T"),1,0)+IF(AND(B29="T",B134="T"),1,0)+IF(AND(B43="T",B160="T"),1,0)+IF(AND(B46="T",B97="T"),1,0)+IF(AND(B53="T",B156="T"),1,0)+IF(AND(B61="T",B101="T"),1,0)+IF(AND(B64="T",B109="T"),1,0)+IF(AND(B66="T",B115="T"),1,0)+IF(AND(B70="T",B121="T"),1,0)+IF(AND(B71="T",B159="T"),1,0)+IF(AND(B74="T",B123="T"),1,0)+IF(AND(B77="T",B124="T"),1,0)+IF(AND(B79="T",B164="T"),1,0)+IF(AND(B83="T",B129="T"),1,0)+IF(AND(B84="T",B170="T"),1,0)+IF(AND(B88="T",B131="T"),1,0)+IF(AND(B90="T",B132="T"),1,0)+IF(AND(B93="T",B138="T"),1,0)+IF(AND(B95="T",B173="T"),1,0)+IF(AND(B102="T",B142="T"),1,0)+IF(AND(B105="T",B146="T"),1,0)+IF(AND(B106="T",B147="T"),1,0)+IF(AND(B108="T",B148="T"),1,0)+IF(AND(B112="T",B151="T"),1,0)+IF(AND(B116="T",B155="T"),1,0)+IF(AND(B120="T",B157="T"),1,0)+IF(AND(B6="T",B92="T"),1,0)+IF(AND(B9="T",B81="T"),1,0)+IF(AND(B15="T",B58="T"),1,0)+IF(AND(B24="T",B141="T"),1,0)+IF(AND(B26="T",B125="T"),1,0)+IF(AND(B35="T",B165="T"),1,0)+IF(AND(B41="T",B67="T"),1,0)+IF(AND(B44="T",B168="T"),1,0)+IF(AND(B45="T",B143="T"),1,0)+IF(AND(B49="T",B85="T"),1,0)+IF(AND(B50="T",B82="T"),1,0)+IF(AND(B55="T",B162="T"),1,0)+IF(AND(B57="T",B139="T"),1,0)+IF(AND(B59="T",B176="T"),1,0)</f>
        <v/>
      </c>
      <c r="D186">
        <f>IF(B186&gt;=10,"INVALID",IF(B186&gt;=8,"CAUTION","OK"))</f>
        <v/>
      </c>
    </row>
    <row r="187">
      <c r="A187" s="2" t="inlineStr">
        <is>
          <t>OVERALL</t>
        </is>
      </c>
      <c r="B187" s="9">
        <f>IF(OR(D184="INVALID",D185="INVALID",D186="INVALID"),"INVALID",IF(OR(D185="CAUTION",D186="CAUTION"),"QUESTIONABLE","VALID"))</f>
        <v/>
      </c>
    </row>
    <row r="189">
      <c r="A189" s="2" t="inlineStr">
        <is>
          <t>SCALE X (Disclosure)</t>
        </is>
      </c>
    </row>
    <row r="190">
      <c r="A190" s="2" t="inlineStr">
        <is>
          <t>Scale</t>
        </is>
      </c>
      <c r="B190" s="2" t="inlineStr">
        <is>
          <t>Raw</t>
        </is>
      </c>
    </row>
    <row r="191">
      <c r="A191" t="inlineStr">
        <is>
          <t>1</t>
        </is>
      </c>
      <c r="B191">
        <f>IF(B6="T",1,0)+IF(B26="T",1,0)+IF(B28="T",2,0)+IF(B45="T",1,0)+IF(B49="T",1,0)+IF(B57="T",1,0)+IF(B60="T",1,0)+IF(B61="T",2,0)+IF(B75="T",1,0)+IF(B85="T",1,0)+IF(B102="T",1,0)+IF(B125="T",1,0)+IF(B139="T",1,0)+IF(B151="T",2,0)+IF(B162="T",1,0)+IF(B176="T",1,0)</f>
        <v/>
      </c>
    </row>
    <row r="192">
      <c r="A192" t="inlineStr">
        <is>
          <t>2A</t>
        </is>
      </c>
      <c r="B192">
        <f>IF(B6="T",1,0)+IF(B24="T",1,0)+IF(B26="T",1,0)+IF(B45="T",1,0)+IF(B50="T",2,0)+IF(B57="T",1,0)+IF(B60="T",1,0)+IF(B75="T",1,0)+IF(B82="T",2,0)+IF(B85="T",1,0)+IF(B102="T",1,0)+IF(B125="T",1,0)+IF(B139="T",1,0)+IF(B151="T",2,0)+IF(B162="T",1,0)+IF(B176="T",1,0)</f>
        <v/>
      </c>
    </row>
    <row r="193">
      <c r="A193" t="inlineStr">
        <is>
          <t>2B</t>
        </is>
      </c>
      <c r="B193">
        <f>IF(B6="T",1,0)+IF(B24="T",2,0)+IF(B26="T",1,0)+IF(B45="T",1,0)+IF(B54="T",2,0)+IF(B57="T",1,0)+IF(B60="T",1,0)+IF(B75="T",1,0)+IF(B85="T",1,0)+IF(B102="T",1,0)+IF(B125="T",1,0)+IF(B134="T",2,0)+IF(B139="T",1,0)+IF(B162="T",1,0)+IF(B176="T",1,0)</f>
        <v/>
      </c>
    </row>
    <row r="194">
      <c r="A194" t="inlineStr">
        <is>
          <t>3</t>
        </is>
      </c>
      <c r="B194">
        <f>IF(B7="T",2,0)+IF(B9="T",1,0)+IF(B19="T",1,0)+IF(B23="T",2,0)+IF(B26="T",1,0)+IF(B37="T",1,0)+IF(B43="T",2,0)+IF(B49="T",1,0)+IF(B64="T",1,0)+IF(B74="T",1,0)+IF(B79="T",1,0)+IF(B84="T",1,0)+IF(B90="T",1,0)+IF(B95="T",1,0)+IF(B123="T",1,0)+IF(B129="T",1,0)+IF(B164="T",1,0)+IF(B170="T",1,0)+IF(B173="T",1,0)</f>
        <v/>
      </c>
    </row>
    <row r="195">
      <c r="A195" t="inlineStr">
        <is>
          <t>4</t>
        </is>
      </c>
      <c r="B195">
        <f>IF(B11="T",1,0)+IF(B18="T",1,0)+IF(B30="T",1,0)+IF(B36="T",1,0)+IF(B41="T",2,0)+IF(B44="T",1,0)+IF(B46="T",1,0)+IF(B61="T",1,0)+IF(B70="T",1,0)+IF(B82="T",1,0)+IF(B92="T",1,0)+IF(B97="T",1,0)+IF(B99="T",2,0)+IF(B107="T",1,0)+IF(B110="T",1,0)+IF(B115="T",1,0)+IF(B135="T",1,0)+IF(B159="T",2,0)+IF(B168="T",1,0)</f>
        <v/>
      </c>
    </row>
    <row r="196">
      <c r="A196" t="inlineStr">
        <is>
          <t>5</t>
        </is>
      </c>
      <c r="B196">
        <f>IF(B5="T",1,0)+IF(B11="T",1,0)+IF(B18="T",1,0)+IF(B30="T",1,0)+IF(B36="T",1,0)+IF(B41="T",2,0)+IF(B44="T",1,0)+IF(B46="T",1,0)+IF(B61="T",1,0)+IF(B67="T",1,0)+IF(B70="T",1,0)+IF(B71="T",2,0)+IF(B82="T",1,0)+IF(B89="T",1,0)+IF(B92="T",1,0)+IF(B97="T",1,0)+IF(B107="T",1,0)+IF(B115="T",1,0)+IF(B121="T",2,0)+IF(B135="T",1,0)+IF(B144="T",1,0)+IF(B149="T",1,0)+IF(B159="T",1,0)+IF(B168="T",1,0)</f>
        <v/>
      </c>
    </row>
    <row r="197">
      <c r="A197" t="inlineStr">
        <is>
          <t>6A</t>
        </is>
      </c>
      <c r="B197">
        <f>IF(B10="T",1,0)+IF(B16="T",1,0)+IF(B18="T",1,0)+IF(B32="T",1,0)+IF(B36="T",1,0)+IF(B38="T",2,0)+IF(B44="T",1,0)+IF(B51="T",2,0)+IF(B62="T",1,0)+IF(B67="T",1,0)+IF(B70="T",1,0)+IF(B81="T",1,0)+IF(B89="T",1,0)+IF(B97="T",1,0)+IF(B108="T",2,0)+IF(B115="T",1,0)+IF(B135="T",1,0)+IF(B159="T",1,0)+IF(B168="T",1,0)</f>
        <v/>
      </c>
    </row>
    <row r="198">
      <c r="A198" t="inlineStr">
        <is>
          <t>6B</t>
        </is>
      </c>
      <c r="B198">
        <f>IF(B10="T",1,0)+IF(B16="T",1,0)+IF(B21="T",2,0)+IF(B32="T",1,0)+IF(B36="T",1,0)+IF(B38="T",1,0)+IF(B51="T",1,0)+IF(B62="T",1,0)+IF(B67="T",1,0)+IF(B70="T",1,0)+IF(B71="T",2,0)+IF(B81="T",1,0)+IF(B89="T",1,0)+IF(B97="T",1,0)+IF(B108="T",1,0)+IF(B115="T",1,0)+IF(B121="T",2,0)+IF(B135="T",1,0)+IF(B159="T",1,0)+IF(B168="T",1,0)</f>
        <v/>
      </c>
    </row>
    <row r="199">
      <c r="A199" t="inlineStr">
        <is>
          <t>7</t>
        </is>
      </c>
      <c r="B199">
        <f>IF(B8="T",1,0)+IF(B11="T",1,0)+IF(B30="T",1,0)+IF(B36="T",1,0)+IF(B41="T",1,0)+IF(B44="T",1,0)+IF(B61="T",1,0)+IF(B67="T",1,0)+IF(B72="T",1,0)+IF(B78="T",1,0)+IF(B86="T",1,0)+IF(B92="T",1,0)+IF(B99="T",1,0)+IF(B103="T",2,0)+IF(B107="T",1,0)+IF(B137="T",1,0)+IF(B144="T",2,0)+IF(B149="T",1,0)+IF(B166="T",2,0)+IF(B168="T",1,0)</f>
        <v/>
      </c>
    </row>
    <row r="200">
      <c r="A200" t="inlineStr">
        <is>
          <t>8A</t>
        </is>
      </c>
      <c r="B200">
        <f>IF(B9="T",1,0)+IF(B14="T",2,0)+IF(B19="T",1,0)+IF(B24="T",1,0)+IF(B37="T",1,0)+IF(B43="T",2,0)+IF(B50="T",1,0)+IF(B64="T",1,0)+IF(B74="T",1,0)+IF(B79="T",1,0)+IF(B84="T",1,0)+IF(B90="T",1,0)+IF(B95="T",1,0)+IF(B123="T",1,0)+IF(B129="T",1,0)+IF(B164="T",1,0)+IF(B169="T",2,0)+IF(B170="T",1,0)+IF(B173="T",1,0)</f>
        <v/>
      </c>
    </row>
    <row r="201">
      <c r="A201" t="inlineStr">
        <is>
          <t>8B</t>
        </is>
      </c>
      <c r="B201">
        <f>IF(B9="T",1,0)+IF(B19="T",1,0)+IF(B24="T",1,0)+IF(B29="T",2,0)+IF(B37="T",1,0)+IF(B50="T",1,0)+IF(B53="T",2,0)+IF(B64="T",1,0)+IF(B74="T",1,0)+IF(B79="T",1,0)+IF(B84="T",1,0)+IF(B90="T",1,0)+IF(B95="T",1,0)+IF(B123="T",1,0)+IF(B129="T",1,0)+IF(B154="T",2,0)+IF(B164="T",1,0)+IF(B173="T",1,0)</f>
        <v/>
      </c>
    </row>
    <row r="202">
      <c r="A202" s="10" t="inlineStr">
        <is>
          <t>X Raw</t>
        </is>
      </c>
      <c r="B202" s="11">
        <f>ROUND(B191+B192+B193+B194+B195+B197+B198+B199+B200+B201+B196*2/3,0)</f>
        <v/>
      </c>
      <c r="D202">
        <f>IF(OR(B202&lt;34,B202&gt;178),"INVALID","VALID")</f>
        <v/>
      </c>
    </row>
    <row r="204">
      <c r="A204" s="2" t="inlineStr">
        <is>
          <t>Disc Adj 1-8B:</t>
        </is>
      </c>
      <c r="B204">
        <f>IF(OR(B202&lt;34,B202&gt;178),0,IF(B202&lt;=60,IF(B202&lt;=37,20,IF(B202&lt;=38,19,IF(B202&lt;=39,18,IF(B202&lt;=41,17,IF(B202&lt;=42,16,IF(B202&lt;=43,15,IF(B202&lt;=44,14,IF(B202&lt;=45,13,IF(B202&lt;=46,12,IF(B202&lt;=47,11,IF(B202&lt;=48,10,IF(B202&lt;=50,9,IF(B202&lt;=51,8,IF(B202&lt;=52,7,IF(B202&lt;=53,6,IF(B202&lt;=54,5,IF(B202&lt;=55,4,IF(B202&lt;=56,3,IF(B202&lt;=58,2,IF(B202&lt;=60,1,0)))))))))))))))))))),IF(B202&lt;=123,0,IF(B202&lt;=125,-1,IF(B202&lt;=128,-2,IF(B202&lt;=130,-3,IF(B202&lt;=132,-4,IF(B202&lt;=134,-5,IF(B202&lt;=137,-6,IF(B202&lt;=139,-7,IF(B202&lt;=141,-8,IF(B202&lt;=144,-9,IF(B202&lt;=147,-10,IF(B202&lt;=151,-11,IF(B202&lt;=153,-12,IF(B202&lt;=156,-13,IF(B202&lt;=158,-14,IF(B202&lt;=161,-15,IF(B202&lt;=163,-16,IF(B202&lt;=166,-17,IF(B202&lt;=168,-18,IF(B202&lt;=171,-19,IF(B202&lt;=178,-20,-20)))))))))))))))))))))))</f>
        <v/>
      </c>
    </row>
    <row r="205">
      <c r="A205" s="2" t="inlineStr">
        <is>
          <t>Disc Adj S-PP:</t>
        </is>
      </c>
      <c r="B205">
        <f>IF(OR(B202&lt;34,B202&gt;178),0,IF(B202&lt;=60,IF(B202&lt;=38,10,IF(B202&lt;=42,9,IF(B202&lt;=44,8,IF(B202&lt;=45,7,IF(B202&lt;=47,6,IF(B202&lt;=48,6,IF(B202&lt;=50,5,IF(B202&lt;=51,4,IF(B202&lt;=52,4,IF(B202&lt;=55,3,IF(B202&lt;=58,2,IF(B202&lt;=60,1,0)))))))))))),IF(B202&lt;=123,0,IF(B202&lt;=125,-1,IF(B202&lt;=128,-2,IF(B202&lt;=130,-2,IF(B202&lt;=132,-3,IF(B202&lt;=135,-4,IF(B202&lt;=139,-5,IF(B202&lt;=141,-5,IF(B202&lt;=144,-6,IF(B202&lt;=147,-7,IF(B202&lt;=150,-8,IF(B202&lt;=153,-9,IF(B202&lt;=156,-9,IF(B202&lt;=158,-10,IF(B202&lt;=161,-10,IF(B202&lt;=163,-11,IF(B202&lt;=166,-12,IF(B202&lt;=168,-12,IF(B202&lt;=171,-13,IF(B202&lt;=178,-14,-14))))))))))))))))))))))</f>
        <v/>
      </c>
    </row>
    <row r="206">
      <c r="A206" s="2" t="inlineStr">
        <is>
          <t>Inp SS:</t>
        </is>
      </c>
      <c r="B206">
        <f>IF(G1="IPD",IF(E2="",0,IF(E2&lt;1,6,IF(E2&lt;=4,4,0))),0)</f>
        <v/>
      </c>
    </row>
    <row r="207">
      <c r="A207" s="2" t="inlineStr">
        <is>
          <t>Inp CC:</t>
        </is>
      </c>
      <c r="B207">
        <f>IF(G1="IPD",IF(E2="",0,IF(E2&lt;1,10,IF(E2&lt;=4,8,0))),0)</f>
        <v/>
      </c>
    </row>
    <row r="208">
      <c r="A208" s="2" t="inlineStr">
        <is>
          <t>Inp PP:</t>
        </is>
      </c>
      <c r="B208">
        <f>IF(G1="IPD",IF(E2="",0,IF(E2&lt;1,4,IF(E2&lt;=4,2,0))),0)</f>
        <v/>
      </c>
    </row>
    <row r="210">
      <c r="A210" s="1" t="inlineStr">
        <is>
          <t>COMPLETE SCORES</t>
        </is>
      </c>
    </row>
    <row r="211">
      <c r="A211" s="12" t="inlineStr">
        <is>
          <t>Scale</t>
        </is>
      </c>
      <c r="B211" s="12" t="inlineStr">
        <is>
          <t>Raw</t>
        </is>
      </c>
      <c r="C211" s="12" t="inlineStr">
        <is>
          <t>BR</t>
        </is>
      </c>
      <c r="D211" s="12" t="inlineStr">
        <is>
          <t>Adj</t>
        </is>
      </c>
      <c r="E211" s="12" t="inlineStr">
        <is>
          <t>Final BR</t>
        </is>
      </c>
      <c r="F211" s="12" t="inlineStr">
        <is>
          <t>Interpretation</t>
        </is>
      </c>
    </row>
    <row r="212">
      <c r="A212" s="13" t="inlineStr">
        <is>
          <t>Y Desirability</t>
        </is>
      </c>
      <c r="B212" s="14">
        <f>IF(B8="T",1,0)+IF(B11="T",2,0)+IF(B30="T",2,0)+IF(B72="T",1,0)+IF(B78="T",1,0)+IF(B86="T",1,0)+IF(B92="T",2,0)+IF(B94="T",1,0)+IF(B99="T",1,0)+IF(B103="T",1,0)+IF(B107="T",2,0)+IF(B110="T",1,0)+IF(B117="T",1,0)+IF(B135="T",1,0)+IF(B137="T",2,0)+IF(B144="T",1,0)+IF(B149="T",1,0)+IF(B157="T",1,0)+IF(B166="T",1,0)+IF(B171="T",1,0)+IF(B174="T",1,0)</f>
        <v/>
      </c>
      <c r="C212" s="14">
        <f>MIN(115,MAX(0,ROUND(IF(B212&gt;=34,110+2.5*(B212-34),IF(B212&gt;=32,105+2.5*(B212-32),IF(B212&gt;=30,100+2.5*(B212-30),IF(B212&gt;=28,95+2.5*(B212-28),IF(B212&gt;=26,90+2.5*(B212-26),IF(B212&gt;=24,85+2.5*(B212-24),IF(B212&gt;=22,80+2.5*(B212-22),IF(B212&gt;=20,75+2.5*(B212-20),IF(B212&gt;=18,70+2.5*(B212-18),IF(B212&gt;=16,65+2.5*(B212-16),IF(B212&gt;=14,60+2.5*(B212-14),IF(B212&gt;=12,55+2.5*(B212-12),IF(B212&gt;=10,50+2.5*(B212-10),IF(B212&gt;=8,40+5.0*(B212-8),IF(B212&gt;=6,30+5.0*(B212-6),IF(B212&gt;=4,20+5.0*(B212-4),IF(B212&gt;=2,10+5.0*(B212-2),IF(B212&gt;=0,0+5.0*(B212-0),0)))))))))))))))))),0)))</f>
        <v/>
      </c>
      <c r="D212" s="14" t="n">
        <v>0</v>
      </c>
      <c r="E212" s="14">
        <f>MIN(115,MAX(0,C212+D212))</f>
        <v/>
      </c>
      <c r="F212" s="15">
        <f>IF(E212&gt;=85,"PROMINENT ***",IF(E212&gt;=75,"SIGNIFICANT **",IF(E212&gt;=60,"Trait *","Not Sig")))</f>
        <v/>
      </c>
    </row>
    <row r="213">
      <c r="A213" s="13" t="inlineStr">
        <is>
          <t>Z Debasement</t>
        </is>
      </c>
      <c r="B213" s="14">
        <f>IF(B13="T",2,0)+IF(B20="T",1,0)+IF(B34="T",2,0)+IF(B39="T",1,0)+IF(B48="T",1,0)+IF(B52="T",1,0)+IF(B54="T",1,0)+IF(B60="T",1,0)+IF(B65="T",1,0)+IF(B76="T",2,0)+IF(B80="T",1,0)+IF(B87="T",1,0)+IF(B91="T",1,0)+IF(B96="T",1,0)+IF(B100="T",1,0)+IF(B104="T",1,0)+IF(B111="T",1,0)+IF(B113="T",2,0)+IF(B118="T",1,0)+IF(B122="T",1,0)+IF(B126="T",1,0)+IF(B130="T",1,0)+IF(B136="T",1,0)+IF(B140="T",1,0)+IF(B145="T",1,0)+IF(B150="T",1,0)+IF(B152="T",2,0)+IF(B158="T",1,0)+IF(B163="T",1,0)+IF(B167="T",1,0)+IF(B172="T",1,0)+IF(B175="T",1,0)+IF(B179="T",2,0)</f>
        <v/>
      </c>
      <c r="C213" s="14">
        <f>MIN(115,MAX(0,ROUND(IF(B213&gt;=51,110+1.6667*(B213-51),IF(B213&gt;=48,105+1.6667*(B213-48),IF(B213&gt;=45,100+1.6667*(B213-45),IF(B213&gt;=42,95+1.6667*(B213-42),IF(B213&gt;=39,90+1.6667*(B213-39),IF(B213&gt;=36,85+1.6667*(B213-36),IF(B213&gt;=33,80+1.6667*(B213-33),IF(B213&gt;=30,75+1.6667*(B213-30),IF(B213&gt;=27,70+1.6667*(B213-27),IF(B213&gt;=24,65+1.6667*(B213-24),IF(B213&gt;=21,60+1.6667*(B213-21),IF(B213&gt;=18,55+1.6667*(B213-18),IF(B213&gt;=15,50+1.6667*(B213-15),IF(B213&gt;=12,40+3.3333*(B213-12),IF(B213&gt;=9,30+3.3333*(B213-9),IF(B213&gt;=6,20+3.3333*(B213-6),IF(B213&gt;=3,10+3.3333*(B213-3),IF(B213&gt;=0,0+3.3333*(B213-0),0)))))))))))))))))),0)))</f>
        <v/>
      </c>
      <c r="D213" s="14" t="n">
        <v>0</v>
      </c>
      <c r="E213" s="14">
        <f>MIN(115,MAX(0,C213+D213))</f>
        <v/>
      </c>
      <c r="F213" s="15">
        <f>IF(E213&gt;=85,"PROMINENT ***",IF(E213&gt;=75,"SIGNIFICANT **",IF(E213&gt;=60,"Trait *","Not Sig")))</f>
        <v/>
      </c>
    </row>
    <row r="214">
      <c r="A214" s="13" t="inlineStr">
        <is>
          <t>1 Schizoid</t>
        </is>
      </c>
      <c r="B214" s="14">
        <f>B191</f>
        <v/>
      </c>
      <c r="C214" s="14">
        <f>MIN(115,MAX(0,ROUND(IF(B214&gt;=32,110+2.5*(B214-32),IF(B214&gt;=30,105+2.5*(B214-30),IF(B214&gt;=28,100+2.5*(B214-28),IF(B214&gt;=26,95+2.5*(B214-26),IF(B214&gt;=24,90+2.5*(B214-24),IF(B214&gt;=22,85+2.5*(B214-22),IF(B214&gt;=20,80+2.5*(B214-20),IF(B214&gt;=18,75+2.5*(B214-18),IF(B214&gt;=16,70+2.5*(B214-16),IF(B214&gt;=14,65+2.5*(B214-14),IF(B214&gt;=12,60+2.5*(B214-12),IF(B214&gt;=10,55+2.5*(B214-10),IF(B214&gt;=8,48+3.5*(B214-8),IF(B214&gt;=6,38+5.0*(B214-6),IF(B214&gt;=4,28+5.0*(B214-4),IF(B214&gt;=2,15+6.5*(B214-2),IF(B214&gt;=0,0+7.5*(B214-0),0))))))))))))))))),0)))</f>
        <v/>
      </c>
      <c r="D214" s="14">
        <f>B204</f>
        <v/>
      </c>
      <c r="E214" s="14">
        <f>MIN(115,MAX(0,C214+D214))</f>
        <v/>
      </c>
      <c r="F214" s="15">
        <f>IF(E214&gt;=85,"PROMINENT ***",IF(E214&gt;=75,"SIGNIFICANT **",IF(E214&gt;=60,"Trait *","Not Sig")))</f>
        <v/>
      </c>
    </row>
    <row r="215">
      <c r="A215" s="13" t="inlineStr">
        <is>
          <t>2A Avoidant</t>
        </is>
      </c>
      <c r="B215" s="14">
        <f>B192</f>
        <v/>
      </c>
      <c r="C215" s="14">
        <f>MIN(115,MAX(0,ROUND(IF(B215&gt;=34,113+1.0*(B215-34),IF(B215&gt;=32,108+2.5*(B215-32),IF(B215&gt;=30,103+2.5*(B215-30),IF(B215&gt;=28,98+2.5*(B215-28),IF(B215&gt;=26,93+2.5*(B215-26),IF(B215&gt;=24,88+2.5*(B215-24),IF(B215&gt;=22,83+2.5*(B215-22),IF(B215&gt;=20,78+2.5*(B215-20),IF(B215&gt;=18,73+2.5*(B215-18),IF(B215&gt;=16,68+2.5*(B215-16),IF(B215&gt;=14,63+2.5*(B215-14),IF(B215&gt;=12,58+2.5*(B215-12),IF(B215&gt;=10,52+3.0*(B215-10),IF(B215&gt;=8,45+3.5*(B215-8),IF(B215&gt;=6,35+5.0*(B215-6),IF(B215&gt;=4,24+5.5*(B215-4),IF(B215&gt;=2,12+6.0*(B215-2),IF(B215&gt;=0,0+6.0*(B215-0),0)))))))))))))))))),0)))</f>
        <v/>
      </c>
      <c r="D215" s="14">
        <f>B204</f>
        <v/>
      </c>
      <c r="E215" s="14">
        <f>MIN(115,MAX(0,C215+D215))</f>
        <v/>
      </c>
      <c r="F215" s="15">
        <f>IF(E215&gt;=85,"PROMINENT ***",IF(E215&gt;=75,"SIGNIFICANT **",IF(E215&gt;=60,"Trait *","Not Sig")))</f>
        <v/>
      </c>
    </row>
    <row r="216">
      <c r="A216" s="13" t="inlineStr">
        <is>
          <t>2B Depressive</t>
        </is>
      </c>
      <c r="B216" s="14">
        <f>B193</f>
        <v/>
      </c>
      <c r="C216" s="14">
        <f>MIN(115,MAX(0,ROUND(IF(B216&gt;=34,114+0.5*(B216-34),IF(B216&gt;=32,109+2.5*(B216-32),IF(B216&gt;=30,104+2.5*(B216-30),IF(B216&gt;=28,99+2.5*(B216-28),IF(B216&gt;=26,94+2.5*(B216-26),IF(B216&gt;=24,89+2.5*(B216-24),IF(B216&gt;=22,84+2.5*(B216-22),IF(B216&gt;=20,79+2.5*(B216-20),IF(B216&gt;=18,74+2.5*(B216-18),IF(B216&gt;=16,69+2.5*(B216-16),IF(B216&gt;=14,64+2.5*(B216-14),IF(B216&gt;=12,59+2.5*(B216-12),IF(B216&gt;=10,53+3.0*(B216-10),IF(B216&gt;=8,45+4.0*(B216-8),IF(B216&gt;=6,35+5.0*(B216-6),IF(B216&gt;=4,24+5.5*(B216-4),IF(B216&gt;=2,12+6.0*(B216-2),IF(B216&gt;=0,0+6.0*(B216-0),0)))))))))))))))))),0)))</f>
        <v/>
      </c>
      <c r="D216" s="14">
        <f>B204</f>
        <v/>
      </c>
      <c r="E216" s="14">
        <f>MIN(115,MAX(0,C216+D216))</f>
        <v/>
      </c>
      <c r="F216" s="15">
        <f>IF(E216&gt;=85,"PROMINENT ***",IF(E216&gt;=75,"SIGNIFICANT **",IF(E216&gt;=60,"Trait *","Not Sig")))</f>
        <v/>
      </c>
    </row>
    <row r="217">
      <c r="A217" s="13" t="inlineStr">
        <is>
          <t>3 Dependent</t>
        </is>
      </c>
      <c r="B217" s="14">
        <f>B194</f>
        <v/>
      </c>
      <c r="C217" s="14">
        <f>MIN(115,MAX(0,ROUND(IF(B217&gt;=36,114+0.5*(B217-36),IF(B217&gt;=34,109+2.5*(B217-34),IF(B217&gt;=32,104+2.5*(B217-32),IF(B217&gt;=30,99+2.5*(B217-30),IF(B217&gt;=28,94+2.5*(B217-28),IF(B217&gt;=26,89+2.5*(B217-26),IF(B217&gt;=24,84+2.5*(B217-24),IF(B217&gt;=22,79+2.5*(B217-22),IF(B217&gt;=20,74+2.5*(B217-20),IF(B217&gt;=18,69+2.5*(B217-18),IF(B217&gt;=16,64+2.5*(B217-16),IF(B217&gt;=14,59+2.5*(B217-14),IF(B217&gt;=12,54+2.5*(B217-12),IF(B217&gt;=10,48+3.0*(B217-10),IF(B217&gt;=8,40+4.0*(B217-8),IF(B217&gt;=6,30+5.0*(B217-6),IF(B217&gt;=4,20+5.0*(B217-4),IF(B217&gt;=2,10+5.0*(B217-2),IF(B217&gt;=0,0+5.0*(B217-0),0))))))))))))))))))),0)))</f>
        <v/>
      </c>
      <c r="D217" s="14">
        <f>B204</f>
        <v/>
      </c>
      <c r="E217" s="14">
        <f>MIN(115,MAX(0,C217+D217))</f>
        <v/>
      </c>
      <c r="F217" s="15">
        <f>IF(E217&gt;=85,"PROMINENT ***",IF(E217&gt;=75,"SIGNIFICANT **",IF(E217&gt;=60,"Trait *","Not Sig")))</f>
        <v/>
      </c>
    </row>
    <row r="218">
      <c r="A218" s="13" t="inlineStr">
        <is>
          <t>4 Histrionic</t>
        </is>
      </c>
      <c r="B218" s="14">
        <f>B195</f>
        <v/>
      </c>
      <c r="C218" s="14">
        <f>MIN(115,MAX(0,ROUND(IF(B218&gt;=48,110+2.5*(B218-48),IF(B218&gt;=45,105+1.6667*(B218-45),IF(B218&gt;=42,100+1.6667*(B218-42),IF(B218&gt;=39,95+1.6667*(B218-39),IF(B218&gt;=36,90+1.6667*(B218-36),IF(B218&gt;=33,85+1.6667*(B218-33),IF(B218&gt;=30,80+1.6667*(B218-30),IF(B218&gt;=27,75+1.6667*(B218-27),IF(B218&gt;=24,70+1.6667*(B218-24),IF(B218&gt;=21,65+1.6667*(B218-21),IF(B218&gt;=18,60+1.6667*(B218-18),IF(B218&gt;=15,54+2.0*(B218-15),IF(B218&gt;=12,47+2.3333*(B218-12),IF(B218&gt;=9,38+3.0*(B218-9),IF(B218&gt;=6,28+3.3333*(B218-6),IF(B218&gt;=3,15+4.3333*(B218-3),IF(B218&gt;=0,0+5.0*(B218-0),0))))))))))))))))),0)))</f>
        <v/>
      </c>
      <c r="D218" s="14">
        <f>B204</f>
        <v/>
      </c>
      <c r="E218" s="14">
        <f>MIN(115,MAX(0,C218+D218))</f>
        <v/>
      </c>
      <c r="F218" s="15">
        <f>IF(E218&gt;=85,"PROMINENT ***",IF(E218&gt;=75,"SIGNIFICANT **",IF(E218&gt;=60,"Trait *","Not Sig")))</f>
        <v/>
      </c>
    </row>
    <row r="219">
      <c r="A219" s="13" t="inlineStr">
        <is>
          <t>5 Narcissistic</t>
        </is>
      </c>
      <c r="B219" s="14">
        <f>B196</f>
        <v/>
      </c>
      <c r="C219" s="14">
        <f>MIN(115,MAX(0,ROUND(IF(B219&gt;=51,112+1.0*(B219-51),IF(B219&gt;=48,107+1.6667*(B219-48),IF(B219&gt;=45,102+1.6667*(B219-45),IF(B219&gt;=42,97+1.6667*(B219-42),IF(B219&gt;=39,92+1.6667*(B219-39),IF(B219&gt;=36,87+1.6667*(B219-36),IF(B219&gt;=33,82+1.6667*(B219-33),IF(B219&gt;=30,77+1.6667*(B219-30),IF(B219&gt;=27,72+1.6667*(B219-27),IF(B219&gt;=24,67+1.6667*(B219-24),IF(B219&gt;=21,62+1.6667*(B219-21),IF(B219&gt;=18,56+2.0*(B219-18),IF(B219&gt;=15,50+2.0*(B219-15),IF(B219&gt;=12,42+2.6667*(B219-12),IF(B219&gt;=9,33+3.0*(B219-9),IF(B219&gt;=6,23+3.3333*(B219-6),IF(B219&gt;=3,12+3.6667*(B219-3),IF(B219&gt;=0,0+4.0*(B219-0),0)))))))))))))))))),0)))</f>
        <v/>
      </c>
      <c r="D219" s="14">
        <f>B204</f>
        <v/>
      </c>
      <c r="E219" s="14">
        <f>MIN(115,MAX(0,C219+D219))</f>
        <v/>
      </c>
      <c r="F219" s="15">
        <f>IF(E219&gt;=85,"PROMINENT ***",IF(E219&gt;=75,"SIGNIFICANT **",IF(E219&gt;=60,"Trait *","Not Sig")))</f>
        <v/>
      </c>
    </row>
    <row r="220">
      <c r="A220" s="13" t="inlineStr">
        <is>
          <t>6A Antisocial</t>
        </is>
      </c>
      <c r="B220" s="14">
        <f>B197</f>
        <v/>
      </c>
      <c r="C220" s="14">
        <f>MIN(115,MAX(0,ROUND(IF(B220&gt;=34,112+1.5*(B220-34),IF(B220&gt;=32,107+2.5*(B220-32),IF(B220&gt;=30,102+2.5*(B220-30),IF(B220&gt;=28,97+2.5*(B220-28),IF(B220&gt;=26,92+2.5*(B220-26),IF(B220&gt;=24,87+2.5*(B220-24),IF(B220&gt;=22,82+2.5*(B220-22),IF(B220&gt;=20,77+2.5*(B220-20),IF(B220&gt;=18,72+2.5*(B220-18),IF(B220&gt;=16,67+2.5*(B220-16),IF(B220&gt;=14,62+2.5*(B220-14),IF(B220&gt;=12,56+3.0*(B220-12),IF(B220&gt;=10,50+3.0*(B220-10),IF(B220&gt;=8,42+4.0*(B220-8),IF(B220&gt;=6,33+4.5*(B220-6),IF(B220&gt;=4,23+5.0*(B220-4),IF(B220&gt;=2,12+5.5*(B220-2),IF(B220&gt;=0,0+6.0*(B220-0),0)))))))))))))))))),0)))</f>
        <v/>
      </c>
      <c r="D220" s="14">
        <f>B204</f>
        <v/>
      </c>
      <c r="E220" s="14">
        <f>MIN(115,MAX(0,C220+D220))</f>
        <v/>
      </c>
      <c r="F220" s="15">
        <f>IF(E220&gt;=85,"PROMINENT ***",IF(E220&gt;=75,"SIGNIFICANT **",IF(E220&gt;=60,"Trait *","Not Sig")))</f>
        <v/>
      </c>
    </row>
    <row r="221">
      <c r="A221" s="13" t="inlineStr">
        <is>
          <t>6B Aggressive/Sadistic</t>
        </is>
      </c>
      <c r="B221" s="14">
        <f>B198</f>
        <v/>
      </c>
      <c r="C221" s="14">
        <f>MIN(115,MAX(0,ROUND(IF(B221&gt;=51,112+1.0*(B221-51),IF(B221&gt;=48,107+1.6667*(B221-48),IF(B221&gt;=45,102+1.6667*(B221-45),IF(B221&gt;=42,97+1.6667*(B221-42),IF(B221&gt;=39,92+1.6667*(B221-39),IF(B221&gt;=36,87+1.6667*(B221-36),IF(B221&gt;=33,82+1.6667*(B221-33),IF(B221&gt;=30,77+1.6667*(B221-30),IF(B221&gt;=27,72+1.6667*(B221-27),IF(B221&gt;=24,67+1.6667*(B221-24),IF(B221&gt;=21,62+1.6667*(B221-21),IF(B221&gt;=18,56+2.0*(B221-18),IF(B221&gt;=15,50+2.0*(B221-15),IF(B221&gt;=12,42+2.6667*(B221-12),IF(B221&gt;=9,33+3.0*(B221-9),IF(B221&gt;=6,23+3.3333*(B221-6),IF(B221&gt;=3,12+3.6667*(B221-3),IF(B221&gt;=0,0+4.0*(B221-0),0)))))))))))))))))),0)))</f>
        <v/>
      </c>
      <c r="D221" s="14">
        <f>B204</f>
        <v/>
      </c>
      <c r="E221" s="14">
        <f>MIN(115,MAX(0,C221+D221))</f>
        <v/>
      </c>
      <c r="F221" s="15">
        <f>IF(E221&gt;=85,"PROMINENT ***",IF(E221&gt;=75,"SIGNIFICANT **",IF(E221&gt;=60,"Trait *","Not Sig")))</f>
        <v/>
      </c>
    </row>
    <row r="222">
      <c r="A222" s="13" t="inlineStr">
        <is>
          <t>7 Compulsive</t>
        </is>
      </c>
      <c r="B222" s="14">
        <f>B199</f>
        <v/>
      </c>
      <c r="C222" s="14">
        <f>MIN(115,MAX(0,ROUND(IF(B222&gt;=48,110+2.5*(B222-48),IF(B222&gt;=45,105+1.6667*(B222-45),IF(B222&gt;=42,100+1.6667*(B222-42),IF(B222&gt;=39,95+1.6667*(B222-39),IF(B222&gt;=36,90+1.6667*(B222-36),IF(B222&gt;=33,85+1.6667*(B222-33),IF(B222&gt;=30,80+1.6667*(B222-30),IF(B222&gt;=27,75+1.6667*(B222-27),IF(B222&gt;=24,70+1.6667*(B222-24),IF(B222&gt;=21,65+1.6667*(B222-21),IF(B222&gt;=18,60+1.6667*(B222-18),IF(B222&gt;=15,54+2.0*(B222-15),IF(B222&gt;=12,47+2.3333*(B222-12),IF(B222&gt;=9,38+3.0*(B222-9),IF(B222&gt;=6,28+3.3333*(B222-6),IF(B222&gt;=3,15+4.3333*(B222-3),IF(B222&gt;=0,0+5.0*(B222-0),0))))))))))))))))),0)))</f>
        <v/>
      </c>
      <c r="D222" s="14">
        <f>B204</f>
        <v/>
      </c>
      <c r="E222" s="14">
        <f>MIN(115,MAX(0,C222+D222))</f>
        <v/>
      </c>
      <c r="F222" s="15">
        <f>IF(E222&gt;=85,"PROMINENT ***",IF(E222&gt;=75,"SIGNIFICANT **",IF(E222&gt;=60,"Trait *","Not Sig")))</f>
        <v/>
      </c>
    </row>
    <row r="223">
      <c r="A223" s="13" t="inlineStr">
        <is>
          <t>8A Negativistic</t>
        </is>
      </c>
      <c r="B223" s="14">
        <f>B200</f>
        <v/>
      </c>
      <c r="C223" s="14">
        <f>MIN(115,MAX(0,ROUND(IF(B223&gt;=34,114+0.5*(B223-34),IF(B223&gt;=32,109+2.5*(B223-32),IF(B223&gt;=30,104+2.5*(B223-30),IF(B223&gt;=28,99+2.5*(B223-28),IF(B223&gt;=26,94+2.5*(B223-26),IF(B223&gt;=24,89+2.5*(B223-24),IF(B223&gt;=22,84+2.5*(B223-22),IF(B223&gt;=20,79+2.5*(B223-20),IF(B223&gt;=18,74+2.5*(B223-18),IF(B223&gt;=16,69+2.5*(B223-16),IF(B223&gt;=14,64+2.5*(B223-14),IF(B223&gt;=12,59+2.5*(B223-12),IF(B223&gt;=10,53+3.0*(B223-10),IF(B223&gt;=8,45+4.0*(B223-8),IF(B223&gt;=6,35+5.0*(B223-6),IF(B223&gt;=4,24+5.5*(B223-4),IF(B223&gt;=2,12+6.0*(B223-2),IF(B223&gt;=0,0+6.0*(B223-0),0)))))))))))))))))),0)))</f>
        <v/>
      </c>
      <c r="D223" s="14">
        <f>B204</f>
        <v/>
      </c>
      <c r="E223" s="14">
        <f>MIN(115,MAX(0,C223+D223))</f>
        <v/>
      </c>
      <c r="F223" s="15">
        <f>IF(E223&gt;=85,"PROMINENT ***",IF(E223&gt;=75,"SIGNIFICANT **",IF(E223&gt;=60,"Trait *","Not Sig")))</f>
        <v/>
      </c>
    </row>
    <row r="224">
      <c r="A224" s="13" t="inlineStr">
        <is>
          <t>8B Masochistic</t>
        </is>
      </c>
      <c r="B224" s="14">
        <f>B201</f>
        <v/>
      </c>
      <c r="C224" s="14">
        <f>MIN(115,MAX(0,ROUND(IF(B224&gt;=34,114+0.5*(B224-34),IF(B224&gt;=32,109+2.5*(B224-32),IF(B224&gt;=30,104+2.5*(B224-30),IF(B224&gt;=28,99+2.5*(B224-28),IF(B224&gt;=26,94+2.5*(B224-26),IF(B224&gt;=24,89+2.5*(B224-24),IF(B224&gt;=22,84+2.5*(B224-22),IF(B224&gt;=20,79+2.5*(B224-20),IF(B224&gt;=18,74+2.5*(B224-18),IF(B224&gt;=16,69+2.5*(B224-16),IF(B224&gt;=14,64+2.5*(B224-14),IF(B224&gt;=12,59+2.5*(B224-12),IF(B224&gt;=10,53+3.0*(B224-10),IF(B224&gt;=8,45+4.0*(B224-8),IF(B224&gt;=6,35+5.0*(B224-6),IF(B224&gt;=4,24+5.5*(B224-4),IF(B224&gt;=2,12+6.0*(B224-2),IF(B224&gt;=0,0+6.0*(B224-0),0)))))))))))))))))),0)))</f>
        <v/>
      </c>
      <c r="D224" s="14">
        <f>B204</f>
        <v/>
      </c>
      <c r="E224" s="14">
        <f>MIN(115,MAX(0,C224+D224))</f>
        <v/>
      </c>
      <c r="F224" s="15">
        <f>IF(E224&gt;=85,"PROMINENT ***",IF(E224&gt;=75,"SIGNIFICANT **",IF(E224&gt;=60,"Trait *","Not Sig")))</f>
        <v/>
      </c>
    </row>
    <row r="225">
      <c r="A225" s="13" t="inlineStr">
        <is>
          <t>S Schizotypal</t>
        </is>
      </c>
      <c r="B225" s="14">
        <f>IF(B6="T",1,0)+IF(B24="T",1,0)+IF(B26="T",1,0)+IF(B28="T",2,0)+IF(B45="T",1,0)+IF(B50="T",1,0)+IF(B57="T",1,0)+IF(B60="T",1,0)+IF(B61="T",2,0)+IF(B75="T",1,0)+IF(B82="T",1,0)+IF(B85="T",1,0)+IF(B102="T",1,0)+IF(B125="T",1,0)+IF(B139="T",1,0)+IF(B151="T",2,0)+IF(B162="T",1,0)+IF(B176="T",1,0)</f>
        <v/>
      </c>
      <c r="C225" s="14">
        <f>MIN(115,MAX(0,ROUND(IF(B225&gt;=34,114+0.5*(B225-34),IF(B225&gt;=32,109+2.5*(B225-32),IF(B225&gt;=30,104+2.5*(B225-30),IF(B225&gt;=28,99+2.5*(B225-28),IF(B225&gt;=26,94+2.5*(B225-26),IF(B225&gt;=24,89+2.5*(B225-24),IF(B225&gt;=22,84+2.5*(B225-22),IF(B225&gt;=20,79+2.5*(B225-20),IF(B225&gt;=18,74+2.5*(B225-18),IF(B225&gt;=16,69+2.5*(B225-16),IF(B225&gt;=14,64+2.5*(B225-14),IF(B225&gt;=12,59+2.5*(B225-12),IF(B225&gt;=10,53+3.0*(B225-10),IF(B225&gt;=8,45+4.0*(B225-8),IF(B225&gt;=6,35+5.0*(B225-6),IF(B225&gt;=4,24+5.5*(B225-4),IF(B225&gt;=2,12+6.0*(B225-2),IF(B225&gt;=0,0+6.0*(B225-0),0)))))))))))))))))),0)))</f>
        <v/>
      </c>
      <c r="D225" s="14">
        <f>B205</f>
        <v/>
      </c>
      <c r="E225" s="14">
        <f>MIN(115,MAX(0,C225+D225))</f>
        <v/>
      </c>
      <c r="F225" s="15">
        <f>IF(E225&gt;=85,"PROMINENT ***",IF(E225&gt;=75,"SIGNIFICANT **",IF(E225&gt;=60,"Trait *","Not Sig")))</f>
        <v/>
      </c>
    </row>
    <row r="226">
      <c r="A226" s="13" t="inlineStr">
        <is>
          <t>C Borderline</t>
        </is>
      </c>
      <c r="B226" s="14">
        <f>IF(B9="T",1,0)+IF(B14="T",1,0)+IF(B19="T",1,0)+IF(B24="T",1,0)+IF(B29="T",2,0)+IF(B37="T",1,0)+IF(B43="T",1,0)+IF(B50="T",1,0)+IF(B53="T",2,0)+IF(B64="T",1,0)+IF(B74="T",1,0)+IF(B79="T",1,0)+IF(B84="T",1,0)+IF(B90="T",1,0)+IF(B95="T",1,0)+IF(B123="T",1,0)+IF(B129="T",1,0)+IF(B164="T",1,0)+IF(B169="T",2,0)</f>
        <v/>
      </c>
      <c r="C226" s="14">
        <f>MIN(115,MAX(0,ROUND(IF(B226&gt;=34,114+0.5*(B226-34),IF(B226&gt;=32,109+2.5*(B226-32),IF(B226&gt;=30,104+2.5*(B226-30),IF(B226&gt;=28,99+2.5*(B226-28),IF(B226&gt;=26,94+2.5*(B226-26),IF(B226&gt;=24,89+2.5*(B226-24),IF(B226&gt;=22,84+2.5*(B226-22),IF(B226&gt;=20,79+2.5*(B226-20),IF(B226&gt;=18,74+2.5*(B226-18),IF(B226&gt;=16,69+2.5*(B226-16),IF(B226&gt;=14,64+2.5*(B226-14),IF(B226&gt;=12,59+2.5*(B226-12),IF(B226&gt;=10,53+3.0*(B226-10),IF(B226&gt;=8,45+4.0*(B226-8),IF(B226&gt;=6,35+5.0*(B226-6),IF(B226&gt;=4,24+5.5*(B226-4),IF(B226&gt;=2,12+6.0*(B226-2),IF(B226&gt;=0,0+6.0*(B226-0),0)))))))))))))))))),0)))</f>
        <v/>
      </c>
      <c r="D226" s="14">
        <f>B205</f>
        <v/>
      </c>
      <c r="E226" s="14">
        <f>MIN(115,MAX(0,C226+D226))</f>
        <v/>
      </c>
      <c r="F226" s="15">
        <f>IF(E226&gt;=85,"PROMINENT ***",IF(E226&gt;=75,"SIGNIFICANT **",IF(E226&gt;=60,"Trait *","Not Sig")))</f>
        <v/>
      </c>
    </row>
    <row r="227">
      <c r="A227" s="13" t="inlineStr">
        <is>
          <t>P Paranoid</t>
        </is>
      </c>
      <c r="B227" s="14">
        <f>IF(B10="T",1,0)+IF(B12="T",2,0)+IF(B16="T",1,0)+IF(B21="T",1,0)+IF(B32="T",1,0)+IF(B33="T",2,0)+IF(B36="T",1,0)+IF(B38="T",1,0)+IF(B51="T",1,0)+IF(B62="T",1,0)+IF(B67="T",1,0)+IF(B71="T",1,0)+IF(B81="T",1,0)+IF(B89="T",1,0)+IF(B97="T",1,0)+IF(B108="T",1,0)+IF(B115="T",1,0)+IF(B121="T",1,0)+IF(B147="T",2,0)+IF(B159="T",1,0)</f>
        <v/>
      </c>
      <c r="C227" s="14">
        <f>MIN(115,MAX(0,ROUND(IF(B227&gt;=51,112+1.0*(B227-51),IF(B227&gt;=48,107+1.6667*(B227-48),IF(B227&gt;=45,102+1.6667*(B227-45),IF(B227&gt;=42,97+1.6667*(B227-42),IF(B227&gt;=39,92+1.6667*(B227-39),IF(B227&gt;=36,87+1.6667*(B227-36),IF(B227&gt;=33,82+1.6667*(B227-33),IF(B227&gt;=30,77+1.6667*(B227-30),IF(B227&gt;=27,72+1.6667*(B227-27),IF(B227&gt;=24,67+1.6667*(B227-24),IF(B227&gt;=21,62+1.6667*(B227-21),IF(B227&gt;=18,56+2.0*(B227-18),IF(B227&gt;=15,50+2.0*(B227-15),IF(B227&gt;=12,42+2.6667*(B227-12),IF(B227&gt;=9,33+3.0*(B227-9),IF(B227&gt;=6,23+3.3333*(B227-6),IF(B227&gt;=3,12+3.6667*(B227-3),IF(B227&gt;=0,0+4.0*(B227-0),0)))))))))))))))))),0)))</f>
        <v/>
      </c>
      <c r="D227" s="14">
        <f>B205</f>
        <v/>
      </c>
      <c r="E227" s="14">
        <f>MIN(115,MAX(0,C227+D227))</f>
        <v/>
      </c>
      <c r="F227" s="15">
        <f>IF(E227&gt;=85,"PROMINENT ***",IF(E227&gt;=75,"SIGNIFICANT **",IF(E227&gt;=60,"Trait *","Not Sig")))</f>
        <v/>
      </c>
    </row>
    <row r="228">
      <c r="A228" s="13" t="inlineStr">
        <is>
          <t>A Anxiety</t>
        </is>
      </c>
      <c r="B228" s="14">
        <f>IF(B20="T",1,0)+IF(B39="T",1,0)+IF(B48="T",2,0)+IF(B52="T",1,0)+IF(B60="T",1,0)+IF(B87="T",1,0)+IF(B91="T",1,0)+IF(B96="T",1,0)+IF(B111="T",1,0)+IF(B118="T",1,0)+IF(B122="T",2,0)+IF(B126="T",1,0)+IF(B140="T",1,0)+IF(B158="T",1,0)+IF(B167="T",1,0)</f>
        <v/>
      </c>
      <c r="C228" s="14">
        <f>MIN(115,MAX(0,ROUND(IF(B228&gt;=28,110+2.5*(B228-28),IF(B228&gt;=26,105+2.5*(B228-26),IF(B228&gt;=24,100+2.5*(B228-24),IF(B228&gt;=22,95+2.5*(B228-22),IF(B228&gt;=20,90+2.5*(B228-20),IF(B228&gt;=18,85+2.5*(B228-18),IF(B228&gt;=16,79+3.0*(B228-16),IF(B228&gt;=14,73+3.0*(B228-14),IF(B228&gt;=12,67+3.0*(B228-12),IF(B228&gt;=10,60+3.5*(B228-10),IF(B228&gt;=8,52+4.0*(B228-8),IF(B228&gt;=6,42+5.0*(B228-6),IF(B228&gt;=4,30+6.0*(B228-4),IF(B228&gt;=2,15+7.5*(B228-2),IF(B228&gt;=0,0+7.5*(B228-0),0))))))))))))))),0)))</f>
        <v/>
      </c>
      <c r="D228" s="14">
        <f>B205</f>
        <v/>
      </c>
      <c r="E228" s="14">
        <f>MIN(115,MAX(0,C228+D228))</f>
        <v/>
      </c>
      <c r="F228" s="15">
        <f>IF(E228&gt;=85,"PROMINENT ***",IF(E228&gt;=75,"SIGNIFICANT **",IF(E228&gt;=60,"Trait *","Not Sig")))</f>
        <v/>
      </c>
    </row>
    <row r="229">
      <c r="A229" s="13" t="inlineStr">
        <is>
          <t>H Somatoform</t>
        </is>
      </c>
      <c r="B229" s="14">
        <f>IF(B20="T",1,0)+IF(B39="T",1,0)+IF(B52="T",1,0)+IF(B65="T",1,0)+IF(B80="T",2,0)+IF(B91="T",1,0)+IF(B96="T",1,0)+IF(B104="T",1,0)+IF(B111="T",1,0)+IF(B118="T",1,0)+IF(B136="T",2,0)+IF(B140="T",1,0)+IF(B167="T",1,0)</f>
        <v/>
      </c>
      <c r="C229" s="14">
        <f>MIN(115,MAX(0,ROUND(IF(B229&gt;=30,113+1.0*(B229-30),IF(B229&gt;=28,108+2.5*(B229-28),IF(B229&gt;=26,103+2.5*(B229-26),IF(B229&gt;=24,98+2.5*(B229-24),IF(B229&gt;=22,93+2.5*(B229-22),IF(B229&gt;=20,88+2.5*(B229-20),IF(B229&gt;=18,83+2.5*(B229-18),IF(B229&gt;=16,77+3.0*(B229-16),IF(B229&gt;=14,71+3.0*(B229-14),IF(B229&gt;=12,65+3.0*(B229-12),IF(B229&gt;=10,58+3.5*(B229-10),IF(B229&gt;=8,50+4.0*(B229-8),IF(B229&gt;=6,40+5.0*(B229-6),IF(B229&gt;=4,28+6.0*(B229-4),IF(B229&gt;=2,15+6.5*(B229-2),IF(B229&gt;=0,0+7.5*(B229-0),0)))))))))))))))),0)))</f>
        <v/>
      </c>
      <c r="D229" s="14">
        <f>B205</f>
        <v/>
      </c>
      <c r="E229" s="14">
        <f>MIN(115,MAX(0,C229+D229))</f>
        <v/>
      </c>
      <c r="F229" s="15">
        <f>IF(E229&gt;=85,"PROMINENT ***",IF(E229&gt;=75,"SIGNIFICANT **",IF(E229&gt;=60,"Trait *","Not Sig")))</f>
        <v/>
      </c>
    </row>
    <row r="230">
      <c r="A230" s="13" t="inlineStr">
        <is>
          <t>N Bipolar:Manic</t>
        </is>
      </c>
      <c r="B230" s="14">
        <f>IF(B10="T",1,0)+IF(B16="T",1,0)+IF(B18="T",1,0)+IF(B32="T",1,0)+IF(B36="T",1,0)+IF(B38="T",1,0)+IF(B41="T",2,0)+IF(B51="T",1,0)+IF(B62="T",1,0)+IF(B67="T",1,0)+IF(B81="T",1,0)+IF(B89="T",1,0)+IF(B99="T",2,0)</f>
        <v/>
      </c>
      <c r="C230" s="14">
        <f>MIN(115,MAX(0,ROUND(IF(B230&gt;=30,113+1.0*(B230-30),IF(B230&gt;=28,108+2.5*(B230-28),IF(B230&gt;=26,103+2.5*(B230-26),IF(B230&gt;=24,98+2.5*(B230-24),IF(B230&gt;=22,93+2.5*(B230-22),IF(B230&gt;=20,88+2.5*(B230-20),IF(B230&gt;=18,83+2.5*(B230-18),IF(B230&gt;=16,77+3.0*(B230-16),IF(B230&gt;=14,71+3.0*(B230-14),IF(B230&gt;=12,65+3.0*(B230-12),IF(B230&gt;=10,58+3.5*(B230-10),IF(B230&gt;=8,50+4.0*(B230-8),IF(B230&gt;=6,40+5.0*(B230-6),IF(B230&gt;=4,28+6.0*(B230-4),IF(B230&gt;=2,15+6.5*(B230-2),IF(B230&gt;=0,0+7.5*(B230-0),0)))))))))))))))),0)))</f>
        <v/>
      </c>
      <c r="D230" s="14">
        <f>B205</f>
        <v/>
      </c>
      <c r="E230" s="14">
        <f>MIN(115,MAX(0,C230+D230))</f>
        <v/>
      </c>
      <c r="F230" s="15">
        <f>IF(E230&gt;=85,"PROMINENT ***",IF(E230&gt;=75,"SIGNIFICANT **",IF(E230&gt;=60,"Trait *","Not Sig")))</f>
        <v/>
      </c>
    </row>
    <row r="231">
      <c r="A231" s="13" t="inlineStr">
        <is>
          <t>D Dysthymia</t>
        </is>
      </c>
      <c r="B231" s="14">
        <f>IF(B20="T",1,0)+IF(B39="T",1,0)+IF(B48="T",1,0)+IF(B52="T",1,0)+IF(B54="T",2,0)+IF(B60="T",1,0)+IF(B87="T",1,0)+IF(B91="T",1,0)+IF(B96="T",1,0)+IF(B100="T",1,0)+IF(B111="T",1,0)+IF(B126="T",1,0)+IF(B134="T",2,0)+IF(B140="T",1,0)+IF(B167="T",1,0)</f>
        <v/>
      </c>
      <c r="C231" s="14">
        <f>MIN(115,MAX(0,ROUND(IF(B231&gt;=30,113+1.0*(B231-30),IF(B231&gt;=28,108+2.5*(B231-28),IF(B231&gt;=26,103+2.5*(B231-26),IF(B231&gt;=24,98+2.5*(B231-24),IF(B231&gt;=22,93+2.5*(B231-22),IF(B231&gt;=20,88+2.5*(B231-20),IF(B231&gt;=18,83+2.5*(B231-18),IF(B231&gt;=16,77+3.0*(B231-16),IF(B231&gt;=14,71+3.0*(B231-14),IF(B231&gt;=12,65+3.0*(B231-12),IF(B231&gt;=10,58+3.5*(B231-10),IF(B231&gt;=8,50+4.0*(B231-8),IF(B231&gt;=6,40+5.0*(B231-6),IF(B231&gt;=4,28+6.0*(B231-4),IF(B231&gt;=2,15+6.5*(B231-2),IF(B231&gt;=0,0+7.5*(B231-0),0)))))))))))))))),0)))</f>
        <v/>
      </c>
      <c r="D231" s="14">
        <f>B205</f>
        <v/>
      </c>
      <c r="E231" s="14">
        <f>MIN(115,MAX(0,C231+D231))</f>
        <v/>
      </c>
      <c r="F231" s="15">
        <f>IF(E231&gt;=85,"PROMINENT ***",IF(E231&gt;=75,"SIGNIFICANT **",IF(E231&gt;=60,"Trait *","Not Sig")))</f>
        <v/>
      </c>
    </row>
    <row r="232">
      <c r="A232" s="13" t="inlineStr">
        <is>
          <t>B Alcohol Dep</t>
        </is>
      </c>
      <c r="B232" s="14">
        <f>IF(B10="T",1,0)+IF(B16="T",1,0)+IF(B32="T",1,0)+IF(B38="T",1,0)+IF(B51="T",1,0)+IF(B56="T",2,0)+IF(B62="T",1,0)+IF(B67="T",1,0)+IF(B81="T",1,0)+IF(B89="T",1,0)+IF(B108="T",1,0)+IF(B115="T",1,0)+IF(B133="T",2,0)+IF(B135="T",1,0)+IF(B159="T",1,0)</f>
        <v/>
      </c>
      <c r="C232" s="14">
        <f>MIN(115,MAX(0,ROUND(IF(B232&gt;=30,113+1.0*(B232-30),IF(B232&gt;=28,108+2.5*(B232-28),IF(B232&gt;=26,103+2.5*(B232-26),IF(B232&gt;=24,98+2.5*(B232-24),IF(B232&gt;=22,93+2.5*(B232-22),IF(B232&gt;=20,88+2.5*(B232-20),IF(B232&gt;=18,83+2.5*(B232-18),IF(B232&gt;=16,77+3.0*(B232-16),IF(B232&gt;=14,71+3.0*(B232-14),IF(B232&gt;=12,65+3.0*(B232-12),IF(B232&gt;=10,58+3.5*(B232-10),IF(B232&gt;=8,50+4.0*(B232-8),IF(B232&gt;=6,40+5.0*(B232-6),IF(B232&gt;=4,28+6.0*(B232-4),IF(B232&gt;=2,15+6.5*(B232-2),IF(B232&gt;=0,0+7.5*(B232-0),0)))))))))))))))),0)))</f>
        <v/>
      </c>
      <c r="D232" s="14">
        <f>B205</f>
        <v/>
      </c>
      <c r="E232" s="14">
        <f>MIN(115,MAX(0,C232+D232))</f>
        <v/>
      </c>
      <c r="F232" s="15">
        <f>IF(E232&gt;=85,"PROMINENT ***",IF(E232&gt;=75,"SIGNIFICANT **",IF(E232&gt;=60,"Trait *","Not Sig")))</f>
        <v/>
      </c>
    </row>
    <row r="233">
      <c r="A233" s="13" t="inlineStr">
        <is>
          <t>T Drug Dep</t>
        </is>
      </c>
      <c r="B233" s="14">
        <f>IF(B10="T",1,0)+IF(B16="T",1,0)+IF(B32="T",1,0)+IF(B38="T",1,0)+IF(B42="T",2,0)+IF(B51="T",1,0)+IF(B62="T",1,0)+IF(B67="T",1,0)+IF(B68="T",2,0)+IF(B81="T",1,0)+IF(B89="T",1,0)+IF(B108="T",1,0)+IF(B115="T",1,0)+IF(B135="T",1,0)</f>
        <v/>
      </c>
      <c r="C233" s="14">
        <f>MIN(115,MAX(0,ROUND(IF(B233&gt;=30,113+1.0*(B233-30),IF(B233&gt;=28,108+2.5*(B233-28),IF(B233&gt;=26,103+2.5*(B233-26),IF(B233&gt;=24,98+2.5*(B233-24),IF(B233&gt;=22,93+2.5*(B233-22),IF(B233&gt;=20,88+2.5*(B233-20),IF(B233&gt;=18,83+2.5*(B233-18),IF(B233&gt;=16,77+3.0*(B233-16),IF(B233&gt;=14,71+3.0*(B233-14),IF(B233&gt;=12,65+3.0*(B233-12),IF(B233&gt;=10,58+3.5*(B233-10),IF(B233&gt;=8,50+4.0*(B233-8),IF(B233&gt;=6,40+5.0*(B233-6),IF(B233&gt;=4,28+6.0*(B233-4),IF(B233&gt;=2,15+6.5*(B233-2),IF(B233&gt;=0,0+7.5*(B233-0),0)))))))))))))))),0)))</f>
        <v/>
      </c>
      <c r="D233" s="14">
        <f>B205</f>
        <v/>
      </c>
      <c r="E233" s="14">
        <f>MIN(115,MAX(0,C233+D233))</f>
        <v/>
      </c>
      <c r="F233" s="15">
        <f>IF(E233&gt;=85,"PROMINENT ***",IF(E233&gt;=75,"SIGNIFICANT **",IF(E233&gt;=60,"Trait *","Not Sig")))</f>
        <v/>
      </c>
    </row>
    <row r="234">
      <c r="A234" s="13" t="inlineStr">
        <is>
          <t>R PTSD</t>
        </is>
      </c>
      <c r="B234" s="14">
        <f>IF(B13="T",2,0)+IF(B20="T",1,0)+IF(B34="T",2,0)+IF(B39="T",1,0)+IF(B48="T",1,0)+IF(B52="T",1,0)+IF(B60="T",1,0)+IF(B80="T",1,0)+IF(B87="T",1,0)+IF(B91="T",1,0)+IF(B96="T",1,0)+IF(B100="T",1,0)+IF(B111="T",1,0)+IF(B118="T",1,0)+IF(B122="T",1,0)+IF(B126="T",1,0)+IF(B140="T",1,0)</f>
        <v/>
      </c>
      <c r="C234" s="14">
        <f>MIN(115,MAX(0,ROUND(IF(B234&gt;=34,114+0.5*(B234-34),IF(B234&gt;=32,109+2.5*(B234-32),IF(B234&gt;=30,104+2.5*(B234-30),IF(B234&gt;=28,99+2.5*(B234-28),IF(B234&gt;=26,94+2.5*(B234-26),IF(B234&gt;=24,89+2.5*(B234-24),IF(B234&gt;=22,84+2.5*(B234-22),IF(B234&gt;=20,79+2.5*(B234-20),IF(B234&gt;=18,74+2.5*(B234-18),IF(B234&gt;=16,69+2.5*(B234-16),IF(B234&gt;=14,64+2.5*(B234-14),IF(B234&gt;=12,59+2.5*(B234-12),IF(B234&gt;=10,53+3.0*(B234-10),IF(B234&gt;=8,45+4.0*(B234-8),IF(B234&gt;=6,35+5.0*(B234-6),IF(B234&gt;=4,24+5.5*(B234-4),IF(B234&gt;=2,12+6.0*(B234-2),IF(B234&gt;=0,0+6.0*(B234-0),0)))))))))))))))))),0)))</f>
        <v/>
      </c>
      <c r="D234" s="14">
        <f>B205</f>
        <v/>
      </c>
      <c r="E234" s="14">
        <f>MIN(115,MAX(0,C234+D234))</f>
        <v/>
      </c>
      <c r="F234" s="15">
        <f>IF(E234&gt;=85,"PROMINENT ***",IF(E234&gt;=75,"SIGNIFICANT **",IF(E234&gt;=60,"Trait *","Not Sig")))</f>
        <v/>
      </c>
    </row>
    <row r="235">
      <c r="A235" s="13" t="inlineStr">
        <is>
          <t>SS Thought Disorder</t>
        </is>
      </c>
      <c r="B235" s="14">
        <f>IF(B20="T",1,0)+IF(B34="T",2,0)+IF(B39="T",1,0)+IF(B48="T",1,0)+IF(B52="T",1,0)+IF(B60="T",1,0)+IF(B76="T",2,0)+IF(B80="T",1,0)+IF(B87="T",1,0)+IF(B91="T",1,0)+IF(B96="T",1,0)+IF(B100="T",1,0)+IF(B104="T",1,0)+IF(B111="T",1,0)+IF(B118="T",1,0)+IF(B122="T",1,0)+IF(B126="T",1,0)+IF(B140="T",1,0)+IF(B179="T",2,0)</f>
        <v/>
      </c>
      <c r="C235" s="14">
        <f>MIN(115,MAX(0,ROUND(IF(B235&gt;=34,113+1.0*(B235-34),IF(B235&gt;=32,108+2.5*(B235-32),IF(B235&gt;=30,103+2.5*(B235-30),IF(B235&gt;=28,98+2.5*(B235-28),IF(B235&gt;=26,93+2.5*(B235-26),IF(B235&gt;=24,88+2.5*(B235-24),IF(B235&gt;=22,83+2.5*(B235-22),IF(B235&gt;=20,78+2.5*(B235-20),IF(B235&gt;=18,73+2.5*(B235-18),IF(B235&gt;=16,67+3.0*(B235-16),IF(B235&gt;=14,61+3.0*(B235-14),IF(B235&gt;=12,55+3.0*(B235-12),IF(B235&gt;=10,48+3.5*(B235-10),IF(B235&gt;=8,40+4.0*(B235-8),IF(B235&gt;=6,30+5.0*(B235-6),IF(B235&gt;=4,20+5.0*(B235-4),IF(B235&gt;=2,10+5.0*(B235-2),IF(B235&gt;=0,0+5.0*(B235-0),0)))))))))))))))))),0)))</f>
        <v/>
      </c>
      <c r="D235" s="14">
        <f>B205</f>
        <v/>
      </c>
      <c r="E235" s="14">
        <f>MIN(115,MAX(0,C235+D235+B206))</f>
        <v/>
      </c>
      <c r="F235" s="15">
        <f>IF(E235&gt;=85,"PROMINENT ***",IF(E235&gt;=75,"SIGNIFICANT **",IF(E235&gt;=60,"Trait *","Not Sig")))</f>
        <v/>
      </c>
    </row>
    <row r="236">
      <c r="A236" s="13" t="inlineStr">
        <is>
          <t>CC Major Depression</t>
        </is>
      </c>
      <c r="B236" s="14">
        <f>IF(B13="T",2,0)+IF(B20="T",1,0)+IF(B39="T",1,0)+IF(B48="T",1,0)+IF(B52="T",1,0)+IF(B54="T",1,0)+IF(B60="T",1,0)+IF(B80="T",1,0)+IF(B87="T",1,0)+IF(B91="T",1,0)+IF(B96="T",1,0)+IF(B100="T",1,0)+IF(B104="T",1,0)+IF(B111="T",1,0)+IF(B113="T",2,0)+IF(B126="T",1,0)+IF(B134="T",1,0)+IF(B140="T",1,0)+IF(B152="T",2,0)</f>
        <v/>
      </c>
      <c r="C236" s="14">
        <f>MIN(115,MAX(0,ROUND(IF(B236&gt;=34,113+1.0*(B236-34),IF(B236&gt;=32,108+2.5*(B236-32),IF(B236&gt;=30,103+2.5*(B236-30),IF(B236&gt;=28,98+2.5*(B236-28),IF(B236&gt;=26,93+2.5*(B236-26),IF(B236&gt;=24,88+2.5*(B236-24),IF(B236&gt;=22,83+2.5*(B236-22),IF(B236&gt;=20,78+2.5*(B236-20),IF(B236&gt;=18,73+2.5*(B236-18),IF(B236&gt;=16,67+3.0*(B236-16),IF(B236&gt;=14,61+3.0*(B236-14),IF(B236&gt;=12,55+3.0*(B236-12),IF(B236&gt;=10,48+3.5*(B236-10),IF(B236&gt;=8,40+4.0*(B236-8),IF(B236&gt;=6,30+5.0*(B236-6),IF(B236&gt;=4,20+5.0*(B236-4),IF(B236&gt;=2,10+5.0*(B236-2),IF(B236&gt;=0,0+5.0*(B236-0),0)))))))))))))))))),0)))</f>
        <v/>
      </c>
      <c r="D236" s="14">
        <f>B205</f>
        <v/>
      </c>
      <c r="E236" s="14">
        <f>MIN(115,MAX(0,C236+D236+B207))</f>
        <v/>
      </c>
      <c r="F236" s="15">
        <f>IF(E236&gt;=85,"PROMINENT ***",IF(E236&gt;=75,"SIGNIFICANT **",IF(E236&gt;=60,"Trait *","Not Sig")))</f>
        <v/>
      </c>
    </row>
    <row r="237">
      <c r="A237" s="13" t="inlineStr">
        <is>
          <t>PP Delusional</t>
        </is>
      </c>
      <c r="B237" s="14">
        <f>IF(B10="T",1,0)+IF(B12="T",1,0)+IF(B16="T",1,0)+IF(B21="T",1,0)+IF(B32="T",1,0)+IF(B33="T",1,0)+IF(B38="T",1,0)+IF(B51="T",1,0)+IF(B62="T",1,0)+IF(B67="T",1,0)+IF(B81="T",1,0)+IF(B89="T",1,0)+IF(B147="T",2,0)+IF(B179="T",2,0)</f>
        <v/>
      </c>
      <c r="C237" s="14">
        <f>MIN(115,MAX(0,ROUND(IF(B237&gt;=32,111+2.0*(B237-32),IF(B237&gt;=30,106+2.5*(B237-30),IF(B237&gt;=28,101+2.5*(B237-28),IF(B237&gt;=26,96+2.5*(B237-26),IF(B237&gt;=24,91+2.5*(B237-24),IF(B237&gt;=22,86+2.5*(B237-22),IF(B237&gt;=20,81+2.5*(B237-20),IF(B237&gt;=18,76+2.5*(B237-18),IF(B237&gt;=16,70+3.0*(B237-16),IF(B237&gt;=14,64+3.0*(B237-14),IF(B237&gt;=12,58+3.0*(B237-12),IF(B237&gt;=10,51+3.5*(B237-10),IF(B237&gt;=8,43+4.0*(B237-8),IF(B237&gt;=6,33+5.0*(B237-6),IF(B237&gt;=4,23+5.0*(B237-4),IF(B237&gt;=2,12+5.5*(B237-2),IF(B237&gt;=0,0+6.0*(B237-0),0))))))))))))))))),0)))</f>
        <v/>
      </c>
      <c r="D237" s="14">
        <f>B205</f>
        <v/>
      </c>
      <c r="E237" s="14">
        <f>MIN(115,MAX(0,C237+D237+B208))</f>
        <v/>
      </c>
      <c r="F237" s="15">
        <f>IF(E237&gt;=85,"PROMINENT ***",IF(E237&gt;=75,"SIGNIFICANT **",IF(E237&gt;=60,"Trait *","Not Sig")))</f>
        <v/>
      </c>
    </row>
  </sheetData>
  <conditionalFormatting sqref="E212:E237">
    <cfRule type="cellIs" priority="1" operator="greaterThanOrEqual" dxfId="0">
      <formula>85</formula>
    </cfRule>
    <cfRule type="cellIs" priority="2" operator="between" dxfId="1">
      <formula>75</formula>
      <formula>84</formula>
    </cfRule>
    <cfRule type="cellIs" priority="3" operator="between" dxfId="2">
      <formula>60</formula>
      <formula>74</formula>
    </cfRule>
    <cfRule type="cellIs" priority="4" operator="lessThan" dxfId="3">
      <formula>60</formula>
    </cfRule>
  </conditionalFormatting>
  <dataValidations count="2">
    <dataValidation sqref="G1" showDropDown="0" showInputMessage="0" showErrorMessage="0" allowBlank="0" type="list">
      <formula1>"OPD,IPD"</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E5 E6 E7 E8 E9 E10 E11 E12 E13 E14 E15 E16 E17 E18 E19 E20 E21 E22 E23 E24 E25 E26 E27 E28 E29 E30 E31 E32 E33 E34 E35 E36 E37 E38 E39 E40 E41 E42 E43 E44 E45 E46 E47 E48 E49 E50 E51 E52 E53 E54 E55 E56 E57 E58 E59 E60 E61 E62 E63 E64 H5 H6 H7 H8 H9 H10 H11 H12 H13 H14 H15 H16 H17 H18 H19 H20 H21 H22 H23 H24 H25 H26 H27 H28 H29 H30 H31 H32 H33 H34 H35 H36 H37 H38 H39 H40 H41 H42 H43 H44 H45 H46 H47 H48 H49 H50 H51 H52 H53 H54 H55 H56 H57 H58 H59" showDropDown="0" showInputMessage="0" showErrorMessage="0" allowBlank="0" error="Enter T or F" type="list">
      <formula1>"T,F"</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2026-07-21T12:22:21Z</dcterms:created>
  <dcterms:modified xsi:type="dcterms:W3CDTF">2026-07-21T12:22:21Z</dcterms:modified>
</cp:coreProperties>
</file>