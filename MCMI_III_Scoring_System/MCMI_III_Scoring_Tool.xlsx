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COR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i val="1"/>
      <color rgb="00555555"/>
    </font>
    <font>
      <b val="1"/>
      <color rgb="00FFFFFF"/>
      <sz val="11"/>
    </font>
    <font>
      <b val="1"/>
      <sz val="12"/>
    </font>
    <font>
      <b val="1"/>
    </font>
    <font>
      <b val="1"/>
      <color rgb="00C00000"/>
      <sz val="12"/>
    </font>
  </fonts>
  <fills count="4">
    <fill>
      <patternFill/>
    </fill>
    <fill>
      <patternFill patternType="gray125"/>
    </fill>
    <fill>
      <patternFill patternType="solid">
        <fgColor rgb="00FFFDE6"/>
      </patternFill>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0" borderId="0" applyAlignment="1" pivotButton="0" quotePrefix="0" xfId="0">
      <alignment horizontal="center" vertical="center"/>
    </xf>
    <xf numFmtId="0" fontId="0" fillId="2" borderId="1" applyAlignment="1" pivotButton="0" quotePrefix="0" xfId="0">
      <alignment horizontal="center" vertical="center"/>
    </xf>
    <xf numFmtId="0" fontId="4" fillId="0" borderId="0" pivotButton="0" quotePrefix="0" xfId="0"/>
    <xf numFmtId="0" fontId="5" fillId="0" borderId="0" pivotButton="0" quotePrefix="0" xfId="0"/>
    <xf numFmtId="0" fontId="6" fillId="0" borderId="0" pivotButton="0" quotePrefix="0" xfId="0"/>
    <xf numFmtId="0" fontId="5"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xf>
  </cellXfs>
  <cellStyles count="1">
    <cellStyle name="Normal" xfId="0" builtinId="0" hidden="0"/>
  </cellStyles>
  <dxfs count="4">
    <dxf>
      <font>
        <b val="1"/>
        <color rgb="00FFFFFF"/>
      </font>
      <fill>
        <patternFill patternType="solid">
          <fgColor rgb="00FF0000"/>
        </patternFill>
      </fill>
    </dxf>
    <dxf>
      <font>
        <b val="1"/>
      </font>
      <fill>
        <patternFill patternType="solid">
          <fgColor rgb="00FF8C00"/>
        </patternFill>
      </fill>
    </dxf>
    <dxf>
      <fill>
        <patternFill patternType="solid">
          <fgColor rgb="00FFFF00"/>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cols>
    <col width="6" customWidth="1" min="1" max="1"/>
    <col width="11" customWidth="1" min="2" max="2"/>
  </cols>
  <sheetData>
    <row r="1">
      <c r="A1" s="1" t="inlineStr">
        <is>
          <t>MCMI-III DATA ENTRY</t>
        </is>
      </c>
      <c r="D1" t="inlineStr">
        <is>
          <t>Age:</t>
        </is>
      </c>
      <c r="E1" s="2" t="inlineStr"/>
      <c r="F1" t="inlineStr">
        <is>
          <t>Setting:</t>
        </is>
      </c>
      <c r="G1" s="2" t="inlineStr">
        <is>
          <t>OPD</t>
        </is>
      </c>
      <c r="H1" t="inlineStr">
        <is>
          <t>AxisI wks:</t>
        </is>
      </c>
      <c r="I1" s="2" t="inlineStr"/>
    </row>
    <row r="2">
      <c r="A2" s="3" t="inlineStr">
        <is>
          <t>Type T (True) or F (False) for each item</t>
        </is>
      </c>
    </row>
    <row r="3">
      <c r="A3" s="4" t="inlineStr">
        <is>
          <t>Item</t>
        </is>
      </c>
      <c r="B3" s="4" t="inlineStr">
        <is>
          <t>Response</t>
        </is>
      </c>
      <c r="D3" t="inlineStr">
        <is>
          <t>Answered:</t>
        </is>
      </c>
      <c r="E3">
        <f>COUNTA(B4:B178)</f>
        <v/>
      </c>
      <c r="F3" t="inlineStr">
        <is>
          <t>/175</t>
        </is>
      </c>
    </row>
    <row r="4">
      <c r="A4" s="5" t="n">
        <v>1</v>
      </c>
      <c r="B4" s="6" t="n"/>
    </row>
    <row r="5">
      <c r="A5" s="5" t="n">
        <v>2</v>
      </c>
      <c r="B5" s="6" t="n"/>
    </row>
    <row r="6">
      <c r="A6" s="5" t="n">
        <v>3</v>
      </c>
      <c r="B6" s="6" t="n"/>
    </row>
    <row r="7">
      <c r="A7" s="5" t="n">
        <v>4</v>
      </c>
      <c r="B7" s="6" t="n"/>
    </row>
    <row r="8">
      <c r="A8" s="5" t="n">
        <v>5</v>
      </c>
      <c r="B8" s="6" t="n"/>
    </row>
    <row r="9">
      <c r="A9" s="5" t="n">
        <v>6</v>
      </c>
      <c r="B9" s="6" t="n"/>
    </row>
    <row r="10">
      <c r="A10" s="5" t="n">
        <v>7</v>
      </c>
      <c r="B10" s="6" t="n"/>
    </row>
    <row r="11">
      <c r="A11" s="5" t="n">
        <v>8</v>
      </c>
      <c r="B11" s="6" t="n"/>
    </row>
    <row r="12">
      <c r="A12" s="5" t="n">
        <v>9</v>
      </c>
      <c r="B12" s="6" t="n"/>
    </row>
    <row r="13">
      <c r="A13" s="5" t="n">
        <v>10</v>
      </c>
      <c r="B13" s="6" t="n"/>
    </row>
    <row r="14">
      <c r="A14" s="5" t="n">
        <v>11</v>
      </c>
      <c r="B14" s="6" t="n"/>
    </row>
    <row r="15">
      <c r="A15" s="5" t="n">
        <v>12</v>
      </c>
      <c r="B15" s="6" t="n"/>
    </row>
    <row r="16">
      <c r="A16" s="5" t="n">
        <v>13</v>
      </c>
      <c r="B16" s="6" t="n"/>
    </row>
    <row r="17">
      <c r="A17" s="5" t="n">
        <v>14</v>
      </c>
      <c r="B17" s="6" t="n"/>
    </row>
    <row r="18">
      <c r="A18" s="5" t="n">
        <v>15</v>
      </c>
      <c r="B18" s="6" t="n"/>
    </row>
    <row r="19">
      <c r="A19" s="5" t="n">
        <v>16</v>
      </c>
      <c r="B19" s="6" t="n"/>
    </row>
    <row r="20">
      <c r="A20" s="5" t="n">
        <v>17</v>
      </c>
      <c r="B20" s="6" t="n"/>
    </row>
    <row r="21">
      <c r="A21" s="5" t="n">
        <v>18</v>
      </c>
      <c r="B21" s="6" t="n"/>
    </row>
    <row r="22">
      <c r="A22" s="5" t="n">
        <v>19</v>
      </c>
      <c r="B22" s="6" t="n"/>
    </row>
    <row r="23">
      <c r="A23" s="5" t="n">
        <v>20</v>
      </c>
      <c r="B23" s="6" t="n"/>
    </row>
    <row r="24">
      <c r="A24" s="5" t="n">
        <v>21</v>
      </c>
      <c r="B24" s="6" t="n"/>
    </row>
    <row r="25">
      <c r="A25" s="5" t="n">
        <v>22</v>
      </c>
      <c r="B25" s="6" t="n"/>
    </row>
    <row r="26">
      <c r="A26" s="5" t="n">
        <v>23</v>
      </c>
      <c r="B26" s="6" t="n"/>
    </row>
    <row r="27">
      <c r="A27" s="5" t="n">
        <v>24</v>
      </c>
      <c r="B27" s="6" t="n"/>
    </row>
    <row r="28">
      <c r="A28" s="5" t="n">
        <v>25</v>
      </c>
      <c r="B28" s="6" t="n"/>
    </row>
    <row r="29">
      <c r="A29" s="5" t="n">
        <v>26</v>
      </c>
      <c r="B29" s="6" t="n"/>
    </row>
    <row r="30">
      <c r="A30" s="5" t="n">
        <v>27</v>
      </c>
      <c r="B30" s="6" t="n"/>
    </row>
    <row r="31">
      <c r="A31" s="5" t="n">
        <v>28</v>
      </c>
      <c r="B31" s="6" t="n"/>
    </row>
    <row r="32">
      <c r="A32" s="5" t="n">
        <v>29</v>
      </c>
      <c r="B32" s="6" t="n"/>
    </row>
    <row r="33">
      <c r="A33" s="5" t="n">
        <v>30</v>
      </c>
      <c r="B33" s="6" t="n"/>
    </row>
    <row r="34">
      <c r="A34" s="5" t="n">
        <v>31</v>
      </c>
      <c r="B34" s="6" t="n"/>
    </row>
    <row r="35">
      <c r="A35" s="5" t="n">
        <v>32</v>
      </c>
      <c r="B35" s="6" t="n"/>
    </row>
    <row r="36">
      <c r="A36" s="5" t="n">
        <v>33</v>
      </c>
      <c r="B36" s="6" t="n"/>
    </row>
    <row r="37">
      <c r="A37" s="5" t="n">
        <v>34</v>
      </c>
      <c r="B37" s="6" t="n"/>
    </row>
    <row r="38">
      <c r="A38" s="5" t="n">
        <v>35</v>
      </c>
      <c r="B38" s="6" t="n"/>
    </row>
    <row r="39">
      <c r="A39" s="5" t="n">
        <v>36</v>
      </c>
      <c r="B39" s="6" t="n"/>
    </row>
    <row r="40">
      <c r="A40" s="5" t="n">
        <v>37</v>
      </c>
      <c r="B40" s="6" t="n"/>
    </row>
    <row r="41">
      <c r="A41" s="5" t="n">
        <v>38</v>
      </c>
      <c r="B41" s="6" t="n"/>
    </row>
    <row r="42">
      <c r="A42" s="5" t="n">
        <v>39</v>
      </c>
      <c r="B42" s="6" t="n"/>
    </row>
    <row r="43">
      <c r="A43" s="5" t="n">
        <v>40</v>
      </c>
      <c r="B43" s="6" t="n"/>
    </row>
    <row r="44">
      <c r="A44" s="5" t="n">
        <v>41</v>
      </c>
      <c r="B44" s="6" t="n"/>
    </row>
    <row r="45">
      <c r="A45" s="5" t="n">
        <v>42</v>
      </c>
      <c r="B45" s="6" t="n"/>
    </row>
    <row r="46">
      <c r="A46" s="5" t="n">
        <v>43</v>
      </c>
      <c r="B46" s="6" t="n"/>
    </row>
    <row r="47">
      <c r="A47" s="5" t="n">
        <v>44</v>
      </c>
      <c r="B47" s="6" t="n"/>
    </row>
    <row r="48">
      <c r="A48" s="5" t="n">
        <v>45</v>
      </c>
      <c r="B48" s="6" t="n"/>
    </row>
    <row r="49">
      <c r="A49" s="5" t="n">
        <v>46</v>
      </c>
      <c r="B49" s="6" t="n"/>
    </row>
    <row r="50">
      <c r="A50" s="5" t="n">
        <v>47</v>
      </c>
      <c r="B50" s="6" t="n"/>
    </row>
    <row r="51">
      <c r="A51" s="5" t="n">
        <v>48</v>
      </c>
      <c r="B51" s="6" t="n"/>
    </row>
    <row r="52">
      <c r="A52" s="5" t="n">
        <v>49</v>
      </c>
      <c r="B52" s="6" t="n"/>
    </row>
    <row r="53">
      <c r="A53" s="5" t="n">
        <v>50</v>
      </c>
      <c r="B53" s="6" t="n"/>
    </row>
    <row r="54">
      <c r="A54" s="5" t="n">
        <v>51</v>
      </c>
      <c r="B54" s="6" t="n"/>
    </row>
    <row r="55">
      <c r="A55" s="5" t="n">
        <v>52</v>
      </c>
      <c r="B55" s="6" t="n"/>
    </row>
    <row r="56">
      <c r="A56" s="5" t="n">
        <v>53</v>
      </c>
      <c r="B56" s="6" t="n"/>
    </row>
    <row r="57">
      <c r="A57" s="5" t="n">
        <v>54</v>
      </c>
      <c r="B57" s="6" t="n"/>
    </row>
    <row r="58">
      <c r="A58" s="5" t="n">
        <v>55</v>
      </c>
      <c r="B58" s="6" t="n"/>
    </row>
    <row r="59">
      <c r="A59" s="5" t="n">
        <v>56</v>
      </c>
      <c r="B59" s="6" t="n"/>
    </row>
    <row r="60">
      <c r="A60" s="5" t="n">
        <v>57</v>
      </c>
      <c r="B60" s="6" t="n"/>
    </row>
    <row r="61">
      <c r="A61" s="5" t="n">
        <v>58</v>
      </c>
      <c r="B61" s="6" t="n"/>
    </row>
    <row r="62">
      <c r="A62" s="5" t="n">
        <v>59</v>
      </c>
      <c r="B62" s="6" t="n"/>
    </row>
    <row r="63">
      <c r="A63" s="5" t="n">
        <v>60</v>
      </c>
      <c r="B63" s="6" t="n"/>
    </row>
    <row r="64">
      <c r="A64" s="5" t="n">
        <v>61</v>
      </c>
      <c r="B64" s="6" t="n"/>
    </row>
    <row r="65">
      <c r="A65" s="5" t="n">
        <v>62</v>
      </c>
      <c r="B65" s="6" t="n"/>
    </row>
    <row r="66">
      <c r="A66" s="5" t="n">
        <v>63</v>
      </c>
      <c r="B66" s="6" t="n"/>
    </row>
    <row r="67">
      <c r="A67" s="5" t="n">
        <v>64</v>
      </c>
      <c r="B67" s="6" t="n"/>
    </row>
    <row r="68">
      <c r="A68" s="5" t="n">
        <v>65</v>
      </c>
      <c r="B68" s="6" t="n"/>
    </row>
    <row r="69">
      <c r="A69" s="5" t="n">
        <v>66</v>
      </c>
      <c r="B69" s="6" t="n"/>
    </row>
    <row r="70">
      <c r="A70" s="5" t="n">
        <v>67</v>
      </c>
      <c r="B70" s="6" t="n"/>
    </row>
    <row r="71">
      <c r="A71" s="5" t="n">
        <v>68</v>
      </c>
      <c r="B71" s="6" t="n"/>
    </row>
    <row r="72">
      <c r="A72" s="5" t="n">
        <v>69</v>
      </c>
      <c r="B72" s="6" t="n"/>
    </row>
    <row r="73">
      <c r="A73" s="5" t="n">
        <v>70</v>
      </c>
      <c r="B73" s="6" t="n"/>
    </row>
    <row r="74">
      <c r="A74" s="5" t="n">
        <v>71</v>
      </c>
      <c r="B74" s="6" t="n"/>
    </row>
    <row r="75">
      <c r="A75" s="5" t="n">
        <v>72</v>
      </c>
      <c r="B75" s="6" t="n"/>
    </row>
    <row r="76">
      <c r="A76" s="5" t="n">
        <v>73</v>
      </c>
      <c r="B76" s="6" t="n"/>
    </row>
    <row r="77">
      <c r="A77" s="5" t="n">
        <v>74</v>
      </c>
      <c r="B77" s="6" t="n"/>
    </row>
    <row r="78">
      <c r="A78" s="5" t="n">
        <v>75</v>
      </c>
      <c r="B78" s="6" t="n"/>
    </row>
    <row r="79">
      <c r="A79" s="5" t="n">
        <v>76</v>
      </c>
      <c r="B79" s="6" t="n"/>
    </row>
    <row r="80">
      <c r="A80" s="5" t="n">
        <v>77</v>
      </c>
      <c r="B80" s="6" t="n"/>
    </row>
    <row r="81">
      <c r="A81" s="5" t="n">
        <v>78</v>
      </c>
      <c r="B81" s="6" t="n"/>
    </row>
    <row r="82">
      <c r="A82" s="5" t="n">
        <v>79</v>
      </c>
      <c r="B82" s="6" t="n"/>
    </row>
    <row r="83">
      <c r="A83" s="5" t="n">
        <v>80</v>
      </c>
      <c r="B83" s="6" t="n"/>
    </row>
    <row r="84">
      <c r="A84" s="5" t="n">
        <v>81</v>
      </c>
      <c r="B84" s="6" t="n"/>
    </row>
    <row r="85">
      <c r="A85" s="5" t="n">
        <v>82</v>
      </c>
      <c r="B85" s="6" t="n"/>
    </row>
    <row r="86">
      <c r="A86" s="5" t="n">
        <v>83</v>
      </c>
      <c r="B86" s="6" t="n"/>
    </row>
    <row r="87">
      <c r="A87" s="5" t="n">
        <v>84</v>
      </c>
      <c r="B87" s="6" t="n"/>
    </row>
    <row r="88">
      <c r="A88" s="5" t="n">
        <v>85</v>
      </c>
      <c r="B88" s="6" t="n"/>
    </row>
    <row r="89">
      <c r="A89" s="5" t="n">
        <v>86</v>
      </c>
      <c r="B89" s="6" t="n"/>
    </row>
    <row r="90">
      <c r="A90" s="5" t="n">
        <v>87</v>
      </c>
      <c r="B90" s="6" t="n"/>
    </row>
    <row r="91">
      <c r="A91" s="5" t="n">
        <v>88</v>
      </c>
      <c r="B91" s="6" t="n"/>
    </row>
    <row r="92">
      <c r="A92" s="5" t="n">
        <v>89</v>
      </c>
      <c r="B92" s="6" t="n"/>
    </row>
    <row r="93">
      <c r="A93" s="5" t="n">
        <v>90</v>
      </c>
      <c r="B93" s="6" t="n"/>
    </row>
    <row r="94">
      <c r="A94" s="5" t="n">
        <v>91</v>
      </c>
      <c r="B94" s="6" t="n"/>
    </row>
    <row r="95">
      <c r="A95" s="5" t="n">
        <v>92</v>
      </c>
      <c r="B95" s="6" t="n"/>
    </row>
    <row r="96">
      <c r="A96" s="5" t="n">
        <v>93</v>
      </c>
      <c r="B96" s="6" t="n"/>
    </row>
    <row r="97">
      <c r="A97" s="5" t="n">
        <v>94</v>
      </c>
      <c r="B97" s="6" t="n"/>
    </row>
    <row r="98">
      <c r="A98" s="5" t="n">
        <v>95</v>
      </c>
      <c r="B98" s="6" t="n"/>
    </row>
    <row r="99">
      <c r="A99" s="5" t="n">
        <v>96</v>
      </c>
      <c r="B99" s="6" t="n"/>
    </row>
    <row r="100">
      <c r="A100" s="5" t="n">
        <v>97</v>
      </c>
      <c r="B100" s="6" t="n"/>
    </row>
    <row r="101">
      <c r="A101" s="5" t="n">
        <v>98</v>
      </c>
      <c r="B101" s="6" t="n"/>
    </row>
    <row r="102">
      <c r="A102" s="5" t="n">
        <v>99</v>
      </c>
      <c r="B102" s="6" t="n"/>
    </row>
    <row r="103">
      <c r="A103" s="5" t="n">
        <v>100</v>
      </c>
      <c r="B103" s="6" t="n"/>
    </row>
    <row r="104">
      <c r="A104" s="5" t="n">
        <v>101</v>
      </c>
      <c r="B104" s="6" t="n"/>
    </row>
    <row r="105">
      <c r="A105" s="5" t="n">
        <v>102</v>
      </c>
      <c r="B105" s="6" t="n"/>
    </row>
    <row r="106">
      <c r="A106" s="5" t="n">
        <v>103</v>
      </c>
      <c r="B106" s="6" t="n"/>
    </row>
    <row r="107">
      <c r="A107" s="5" t="n">
        <v>104</v>
      </c>
      <c r="B107" s="6" t="n"/>
    </row>
    <row r="108">
      <c r="A108" s="5" t="n">
        <v>105</v>
      </c>
      <c r="B108" s="6" t="n"/>
    </row>
    <row r="109">
      <c r="A109" s="5" t="n">
        <v>106</v>
      </c>
      <c r="B109" s="6" t="n"/>
    </row>
    <row r="110">
      <c r="A110" s="5" t="n">
        <v>107</v>
      </c>
      <c r="B110" s="6" t="n"/>
    </row>
    <row r="111">
      <c r="A111" s="5" t="n">
        <v>108</v>
      </c>
      <c r="B111" s="6" t="n"/>
    </row>
    <row r="112">
      <c r="A112" s="5" t="n">
        <v>109</v>
      </c>
      <c r="B112" s="6" t="n"/>
    </row>
    <row r="113">
      <c r="A113" s="5" t="n">
        <v>110</v>
      </c>
      <c r="B113" s="6" t="n"/>
    </row>
    <row r="114">
      <c r="A114" s="5" t="n">
        <v>111</v>
      </c>
      <c r="B114" s="6" t="n"/>
    </row>
    <row r="115">
      <c r="A115" s="5" t="n">
        <v>112</v>
      </c>
      <c r="B115" s="6" t="n"/>
    </row>
    <row r="116">
      <c r="A116" s="5" t="n">
        <v>113</v>
      </c>
      <c r="B116" s="6" t="n"/>
    </row>
    <row r="117">
      <c r="A117" s="5" t="n">
        <v>114</v>
      </c>
      <c r="B117" s="6" t="n"/>
    </row>
    <row r="118">
      <c r="A118" s="5" t="n">
        <v>115</v>
      </c>
      <c r="B118" s="6" t="n"/>
    </row>
    <row r="119">
      <c r="A119" s="5" t="n">
        <v>116</v>
      </c>
      <c r="B119" s="6" t="n"/>
    </row>
    <row r="120">
      <c r="A120" s="5" t="n">
        <v>117</v>
      </c>
      <c r="B120" s="6" t="n"/>
    </row>
    <row r="121">
      <c r="A121" s="5" t="n">
        <v>118</v>
      </c>
      <c r="B121" s="6" t="n"/>
    </row>
    <row r="122">
      <c r="A122" s="5" t="n">
        <v>119</v>
      </c>
      <c r="B122" s="6" t="n"/>
    </row>
    <row r="123">
      <c r="A123" s="5" t="n">
        <v>120</v>
      </c>
      <c r="B123" s="6" t="n"/>
    </row>
    <row r="124">
      <c r="A124" s="5" t="n">
        <v>121</v>
      </c>
      <c r="B124" s="6" t="n"/>
    </row>
    <row r="125">
      <c r="A125" s="5" t="n">
        <v>122</v>
      </c>
      <c r="B125" s="6" t="n"/>
    </row>
    <row r="126">
      <c r="A126" s="5" t="n">
        <v>123</v>
      </c>
      <c r="B126" s="6" t="n"/>
    </row>
    <row r="127">
      <c r="A127" s="5" t="n">
        <v>124</v>
      </c>
      <c r="B127" s="6" t="n"/>
    </row>
    <row r="128">
      <c r="A128" s="5" t="n">
        <v>125</v>
      </c>
      <c r="B128" s="6" t="n"/>
    </row>
    <row r="129">
      <c r="A129" s="5" t="n">
        <v>126</v>
      </c>
      <c r="B129" s="6" t="n"/>
    </row>
    <row r="130">
      <c r="A130" s="5" t="n">
        <v>127</v>
      </c>
      <c r="B130" s="6" t="n"/>
    </row>
    <row r="131">
      <c r="A131" s="5" t="n">
        <v>128</v>
      </c>
      <c r="B131" s="6" t="n"/>
    </row>
    <row r="132">
      <c r="A132" s="5" t="n">
        <v>129</v>
      </c>
      <c r="B132" s="6" t="n"/>
    </row>
    <row r="133">
      <c r="A133" s="5" t="n">
        <v>130</v>
      </c>
      <c r="B133" s="6" t="n"/>
    </row>
    <row r="134">
      <c r="A134" s="5" t="n">
        <v>131</v>
      </c>
      <c r="B134" s="6" t="n"/>
    </row>
    <row r="135">
      <c r="A135" s="5" t="n">
        <v>132</v>
      </c>
      <c r="B135" s="6" t="n"/>
    </row>
    <row r="136">
      <c r="A136" s="5" t="n">
        <v>133</v>
      </c>
      <c r="B136" s="6" t="n"/>
    </row>
    <row r="137">
      <c r="A137" s="5" t="n">
        <v>134</v>
      </c>
      <c r="B137" s="6" t="n"/>
    </row>
    <row r="138">
      <c r="A138" s="5" t="n">
        <v>135</v>
      </c>
      <c r="B138" s="6" t="n"/>
    </row>
    <row r="139">
      <c r="A139" s="5" t="n">
        <v>136</v>
      </c>
      <c r="B139" s="6" t="n"/>
    </row>
    <row r="140">
      <c r="A140" s="5" t="n">
        <v>137</v>
      </c>
      <c r="B140" s="6" t="n"/>
    </row>
    <row r="141">
      <c r="A141" s="5" t="n">
        <v>138</v>
      </c>
      <c r="B141" s="6" t="n"/>
    </row>
    <row r="142">
      <c r="A142" s="5" t="n">
        <v>139</v>
      </c>
      <c r="B142" s="6" t="n"/>
    </row>
    <row r="143">
      <c r="A143" s="5" t="n">
        <v>140</v>
      </c>
      <c r="B143" s="6" t="n"/>
    </row>
    <row r="144">
      <c r="A144" s="5" t="n">
        <v>141</v>
      </c>
      <c r="B144" s="6" t="n"/>
    </row>
    <row r="145">
      <c r="A145" s="5" t="n">
        <v>142</v>
      </c>
      <c r="B145" s="6" t="n"/>
    </row>
    <row r="146">
      <c r="A146" s="5" t="n">
        <v>143</v>
      </c>
      <c r="B146" s="6" t="n"/>
    </row>
    <row r="147">
      <c r="A147" s="5" t="n">
        <v>144</v>
      </c>
      <c r="B147" s="6" t="n"/>
    </row>
    <row r="148">
      <c r="A148" s="5" t="n">
        <v>145</v>
      </c>
      <c r="B148" s="6" t="n"/>
    </row>
    <row r="149">
      <c r="A149" s="5" t="n">
        <v>146</v>
      </c>
      <c r="B149" s="6" t="n"/>
    </row>
    <row r="150">
      <c r="A150" s="5" t="n">
        <v>147</v>
      </c>
      <c r="B150" s="6" t="n"/>
    </row>
    <row r="151">
      <c r="A151" s="5" t="n">
        <v>148</v>
      </c>
      <c r="B151" s="6" t="n"/>
    </row>
    <row r="152">
      <c r="A152" s="5" t="n">
        <v>149</v>
      </c>
      <c r="B152" s="6" t="n"/>
    </row>
    <row r="153">
      <c r="A153" s="5" t="n">
        <v>150</v>
      </c>
      <c r="B153" s="6" t="n"/>
    </row>
    <row r="154">
      <c r="A154" s="5" t="n">
        <v>151</v>
      </c>
      <c r="B154" s="6" t="n"/>
    </row>
    <row r="155">
      <c r="A155" s="5" t="n">
        <v>152</v>
      </c>
      <c r="B155" s="6" t="n"/>
    </row>
    <row r="156">
      <c r="A156" s="5" t="n">
        <v>153</v>
      </c>
      <c r="B156" s="6" t="n"/>
    </row>
    <row r="157">
      <c r="A157" s="5" t="n">
        <v>154</v>
      </c>
      <c r="B157" s="6" t="n"/>
    </row>
    <row r="158">
      <c r="A158" s="5" t="n">
        <v>155</v>
      </c>
      <c r="B158" s="6" t="n"/>
    </row>
    <row r="159">
      <c r="A159" s="5" t="n">
        <v>156</v>
      </c>
      <c r="B159" s="6" t="n"/>
    </row>
    <row r="160">
      <c r="A160" s="5" t="n">
        <v>157</v>
      </c>
      <c r="B160" s="6" t="n"/>
    </row>
    <row r="161">
      <c r="A161" s="5" t="n">
        <v>158</v>
      </c>
      <c r="B161" s="6" t="n"/>
    </row>
    <row r="162">
      <c r="A162" s="5" t="n">
        <v>159</v>
      </c>
      <c r="B162" s="6" t="n"/>
    </row>
    <row r="163">
      <c r="A163" s="5" t="n">
        <v>160</v>
      </c>
      <c r="B163" s="6" t="n"/>
    </row>
    <row r="164">
      <c r="A164" s="5" t="n">
        <v>161</v>
      </c>
      <c r="B164" s="6" t="n"/>
    </row>
    <row r="165">
      <c r="A165" s="5" t="n">
        <v>162</v>
      </c>
      <c r="B165" s="6" t="n"/>
    </row>
    <row r="166">
      <c r="A166" s="5" t="n">
        <v>163</v>
      </c>
      <c r="B166" s="6" t="n"/>
    </row>
    <row r="167">
      <c r="A167" s="5" t="n">
        <v>164</v>
      </c>
      <c r="B167" s="6" t="n"/>
    </row>
    <row r="168">
      <c r="A168" s="5" t="n">
        <v>165</v>
      </c>
      <c r="B168" s="6" t="n"/>
    </row>
    <row r="169">
      <c r="A169" s="5" t="n">
        <v>166</v>
      </c>
      <c r="B169" s="6" t="n"/>
    </row>
    <row r="170">
      <c r="A170" s="5" t="n">
        <v>167</v>
      </c>
      <c r="B170" s="6" t="n"/>
    </row>
    <row r="171">
      <c r="A171" s="5" t="n">
        <v>168</v>
      </c>
      <c r="B171" s="6" t="n"/>
    </row>
    <row r="172">
      <c r="A172" s="5" t="n">
        <v>169</v>
      </c>
      <c r="B172" s="6" t="n"/>
    </row>
    <row r="173">
      <c r="A173" s="5" t="n">
        <v>170</v>
      </c>
      <c r="B173" s="6" t="n"/>
    </row>
    <row r="174">
      <c r="A174" s="5" t="n">
        <v>171</v>
      </c>
      <c r="B174" s="6" t="n"/>
    </row>
    <row r="175">
      <c r="A175" s="5" t="n">
        <v>172</v>
      </c>
      <c r="B175" s="6" t="n"/>
    </row>
    <row r="176">
      <c r="A176" s="5" t="n">
        <v>173</v>
      </c>
      <c r="B176" s="6" t="n"/>
    </row>
    <row r="177">
      <c r="A177" s="5" t="n">
        <v>174</v>
      </c>
      <c r="B177" s="6" t="n"/>
    </row>
    <row r="178">
      <c r="A178" s="5" t="n">
        <v>175</v>
      </c>
      <c r="B178" s="6" t="n"/>
    </row>
  </sheetData>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showDropDown="0" showInputMessage="0" showErrorMessage="0" allowBlank="0" error="T or F only" type="list">
      <formula1>"T,F"</formula1>
    </dataValidation>
    <dataValidation sqref="G1" showDropDown="0" showInputMessage="0" showErrorMessage="0" allowBlank="0" type="list">
      <formula1>"OPD,IPD"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pane ySplit="2" topLeftCell="A3" activePane="bottomLeft" state="frozen"/>
      <selection pane="bottomLeft" activeCell="A1" sqref="A1"/>
    </sheetView>
  </sheetViews>
  <sheetFormatPr baseColWidth="8" defaultRowHeight="15"/>
  <cols>
    <col width="7" customWidth="1" min="1" max="1"/>
    <col width="30" customWidth="1" min="2" max="2"/>
    <col width="9" customWidth="1" min="3" max="3"/>
    <col width="9" customWidth="1" min="4" max="4"/>
    <col width="9" customWidth="1" min="5" max="5"/>
    <col width="9" customWidth="1" min="6" max="6"/>
    <col width="9" customWidth="1" min="7" max="7"/>
    <col width="26" customWidth="1" min="8" max="8"/>
  </cols>
  <sheetData>
    <row r="1">
      <c r="A1" s="1" t="inlineStr">
        <is>
          <t>MCMI-III SCORING RESULTS</t>
        </is>
      </c>
    </row>
    <row r="3">
      <c r="A3" s="7" t="inlineStr">
        <is>
          <t>VALIDITY</t>
        </is>
      </c>
    </row>
    <row r="4">
      <c r="A4" s="8" t="inlineStr"/>
      <c r="B4" s="8" t="inlineStr"/>
      <c r="C4" s="8" t="inlineStr">
        <is>
          <t>Value</t>
        </is>
      </c>
      <c r="D4" s="8" t="inlineStr">
        <is>
          <t>Limit</t>
        </is>
      </c>
      <c r="E4" s="8" t="inlineStr">
        <is>
          <t>Status</t>
        </is>
      </c>
    </row>
    <row r="5">
      <c r="A5" t="inlineStr">
        <is>
          <t>Omits</t>
        </is>
      </c>
      <c r="C5">
        <f>175-COUNTA(DATA!B4:B178)</f>
        <v/>
      </c>
      <c r="D5" t="inlineStr">
        <is>
          <t>&lt;=11</t>
        </is>
      </c>
      <c r="E5">
        <f>IF(C5&gt;11,"INVALID","OK")</f>
        <v/>
      </c>
    </row>
    <row r="6">
      <c r="A6" t="inlineStr">
        <is>
          <t>V</t>
        </is>
      </c>
      <c r="C6">
        <f>IF(DATA!B68="T",1,0)+IF(DATA!B113="T",1,0)+IF(DATA!B160="T",1,0)</f>
        <v/>
      </c>
      <c r="D6" t="inlineStr">
        <is>
          <t>&lt;2</t>
        </is>
      </c>
      <c r="E6">
        <f>IF(C6&gt;=2,"INVALID",IF(C6=1,"CAUTION","OK"))</f>
        <v/>
      </c>
    </row>
    <row r="7">
      <c r="A7" t="inlineStr">
        <is>
          <t>W</t>
        </is>
      </c>
      <c r="C7">
        <f>IF(AND(DATA!B6&lt;&gt;"",DATA!B152&lt;&gt;"",DATA!B6&lt;&gt;DATA!B152),1,0)+IF(AND(DATA!B13&lt;&gt;"",DATA!B168&lt;&gt;"",DATA!B13&lt;&gt;DATA!B168),1,0)+IF(AND(DATA!B17&lt;&gt;"",DATA!B97&lt;&gt;"",DATA!B17&lt;&gt;DATA!B97),1,0)+IF(AND(DATA!B18&lt;&gt;"",DATA!B64&lt;&gt;"",DATA!B18&lt;&gt;DATA!B64),1,0)+IF(AND(DATA!B22&lt;&gt;"",DATA!B153&lt;&gt;"",DATA!B22&lt;&gt;DATA!B153),1,0)+IF(AND(DATA!B28&lt;&gt;"",DATA!B133&lt;&gt;"",DATA!B28&lt;&gt;DATA!B133),1,0)+IF(AND(DATA!B42&lt;&gt;"",DATA!B159&lt;&gt;"",DATA!B42&lt;&gt;DATA!B159),1,0)+IF(AND(DATA!B45&lt;&gt;"",DATA!B96&lt;&gt;"",DATA!B45&lt;&gt;DATA!B96),1,0)+IF(AND(DATA!B52&lt;&gt;"",DATA!B155&lt;&gt;"",DATA!B52&lt;&gt;DATA!B155),1,0)+IF(AND(DATA!B60&lt;&gt;"",DATA!B100&lt;&gt;"",DATA!B60&lt;&gt;DATA!B100),1,0)+IF(AND(DATA!B63&lt;&gt;"",DATA!B108&lt;&gt;"",DATA!B63&lt;&gt;DATA!B108),1,0)+IF(AND(DATA!B65&lt;&gt;"",DATA!B114&lt;&gt;"",DATA!B65&lt;&gt;DATA!B114),1,0)+IF(AND(DATA!B69&lt;&gt;"",DATA!B120&lt;&gt;"",DATA!B69&lt;&gt;DATA!B120),1,0)+IF(AND(DATA!B70&lt;&gt;"",DATA!B158&lt;&gt;"",DATA!B70&lt;&gt;DATA!B158),1,0)+IF(AND(DATA!B73&lt;&gt;"",DATA!B122&lt;&gt;"",DATA!B73&lt;&gt;DATA!B122),1,0)+IF(AND(DATA!B76&lt;&gt;"",DATA!B123&lt;&gt;"",DATA!B76&lt;&gt;DATA!B123),1,0)+IF(AND(DATA!B78&lt;&gt;"",DATA!B163&lt;&gt;"",DATA!B78&lt;&gt;DATA!B163),1,0)+IF(AND(DATA!B82&lt;&gt;"",DATA!B128&lt;&gt;"",DATA!B82&lt;&gt;DATA!B128),1,0)+IF(AND(DATA!B83&lt;&gt;"",DATA!B169&lt;&gt;"",DATA!B83&lt;&gt;DATA!B169),1,0)+IF(AND(DATA!B87&lt;&gt;"",DATA!B130&lt;&gt;"",DATA!B87&lt;&gt;DATA!B130),1,0)+IF(AND(DATA!B89&lt;&gt;"",DATA!B131&lt;&gt;"",DATA!B89&lt;&gt;DATA!B131),1,0)+IF(AND(DATA!B92&lt;&gt;"",DATA!B137&lt;&gt;"",DATA!B92&lt;&gt;DATA!B137),1,0)+IF(AND(DATA!B94&lt;&gt;"",DATA!B172&lt;&gt;"",DATA!B94&lt;&gt;DATA!B172),1,0)+IF(AND(DATA!B101&lt;&gt;"",DATA!B141&lt;&gt;"",DATA!B101&lt;&gt;DATA!B141),1,0)+IF(AND(DATA!B104&lt;&gt;"",DATA!B145&lt;&gt;"",DATA!B104&lt;&gt;DATA!B145),1,0)+IF(AND(DATA!B105&lt;&gt;"",DATA!B146&lt;&gt;"",DATA!B105&lt;&gt;DATA!B146),1,0)+IF(AND(DATA!B107&lt;&gt;"",DATA!B147&lt;&gt;"",DATA!B107&lt;&gt;DATA!B147),1,0)+IF(AND(DATA!B111&lt;&gt;"",DATA!B150&lt;&gt;"",DATA!B111&lt;&gt;DATA!B150),1,0)+IF(AND(DATA!B115&lt;&gt;"",DATA!B154&lt;&gt;"",DATA!B115&lt;&gt;DATA!B154),1,0)+IF(AND(DATA!B119&lt;&gt;"",DATA!B156&lt;&gt;"",DATA!B119&lt;&gt;DATA!B156),1,0)+IF(AND(DATA!B5&lt;&gt;"",DATA!B91&lt;&gt;"",DATA!B5&lt;&gt;DATA!B91),1,0)+IF(AND(DATA!B8&lt;&gt;"",DATA!B80&lt;&gt;"",DATA!B8&lt;&gt;DATA!B80),1,0)+IF(AND(DATA!B14&lt;&gt;"",DATA!B57&lt;&gt;"",DATA!B14&lt;&gt;DATA!B57),1,0)+IF(AND(DATA!B23&lt;&gt;"",DATA!B140&lt;&gt;"",DATA!B23&lt;&gt;DATA!B140),1,0)+IF(AND(DATA!B25&lt;&gt;"",DATA!B124&lt;&gt;"",DATA!B25&lt;&gt;DATA!B124),1,0)+IF(AND(DATA!B34&lt;&gt;"",DATA!B164&lt;&gt;"",DATA!B34&lt;&gt;DATA!B164),1,0)+IF(AND(DATA!B40&lt;&gt;"",DATA!B66&lt;&gt;"",DATA!B40&lt;&gt;DATA!B66),1,0)+IF(AND(DATA!B43&lt;&gt;"",DATA!B167&lt;&gt;"",DATA!B43&lt;&gt;DATA!B167),1,0)+IF(AND(DATA!B44&lt;&gt;"",DATA!B142&lt;&gt;"",DATA!B44&lt;&gt;DATA!B142),1,0)+IF(AND(DATA!B48&lt;&gt;"",DATA!B84&lt;&gt;"",DATA!B48&lt;&gt;DATA!B84),1,0)+IF(AND(DATA!B49&lt;&gt;"",DATA!B81&lt;&gt;"",DATA!B49&lt;&gt;DATA!B81),1,0)+IF(AND(DATA!B54&lt;&gt;"",DATA!B161&lt;&gt;"",DATA!B54&lt;&gt;DATA!B161),1,0)+IF(AND(DATA!B56&lt;&gt;"",DATA!B138&lt;&gt;"",DATA!B56&lt;&gt;DATA!B138),1,0)+IF(AND(DATA!B58&lt;&gt;"",DATA!B175&lt;&gt;"",DATA!B58&lt;&gt;DATA!B175),1,0)</f>
        <v/>
      </c>
      <c r="D7" t="inlineStr">
        <is>
          <t>&lt;10</t>
        </is>
      </c>
      <c r="E7">
        <f>IF(C7&gt;=10,"INVALID",IF(C7&gt;=8,"CAUTION","OK"))</f>
        <v/>
      </c>
    </row>
    <row r="8">
      <c r="B8" s="8" t="inlineStr">
        <is>
          <t>OVERALL</t>
        </is>
      </c>
      <c r="E8" s="9">
        <f>IF(OR(E5="INVALID",E6="INVALID",E7="INVALID"),"INVALID",IF(OR(E6="CAUTION",E7="CAUTION"),"QUESTIONABLE","VALID"))</f>
        <v/>
      </c>
    </row>
    <row r="10">
      <c r="A10" s="7" t="inlineStr">
        <is>
          <t>SCALES</t>
        </is>
      </c>
    </row>
    <row r="11">
      <c r="A11" s="4" t="inlineStr">
        <is>
          <t>Scale</t>
        </is>
      </c>
      <c r="B11" s="4" t="inlineStr">
        <is>
          <t>Name</t>
        </is>
      </c>
      <c r="C11" s="4" t="inlineStr">
        <is>
          <t>Raw</t>
        </is>
      </c>
      <c r="D11" s="4" t="inlineStr">
        <is>
          <t>BR</t>
        </is>
      </c>
      <c r="E11" s="4" t="inlineStr">
        <is>
          <t>Adj</t>
        </is>
      </c>
      <c r="F11" s="4" t="inlineStr">
        <is>
          <t>Final BR</t>
        </is>
      </c>
      <c r="G11" s="4" t="inlineStr"/>
      <c r="H11" s="4" t="inlineStr">
        <is>
          <t>Interpretation</t>
        </is>
      </c>
    </row>
    <row r="12">
      <c r="A12" s="10" t="inlineStr">
        <is>
          <t>Y</t>
        </is>
      </c>
      <c r="B12" s="11" t="inlineStr">
        <is>
          <t>Desirability</t>
        </is>
      </c>
      <c r="C12" s="12">
        <f>IF(DATA!B7="T",1,0)+IF(DATA!B10="T",2,0)+IF(DATA!B29="T",2,0)+IF(DATA!B71="T",1,0)+IF(DATA!B77="T",1,0)+IF(DATA!B85="T",1,0)+IF(DATA!B91="T",2,0)+IF(DATA!B93="T",1,0)+IF(DATA!B98="T",1,0)+IF(DATA!B102="T",1,0)+IF(DATA!B106="T",2,0)+IF(DATA!B109="T",1,0)+IF(DATA!B116="T",1,0)+IF(DATA!B134="T",1,0)+IF(DATA!B136="T",2,0)+IF(DATA!B143="T",1,0)+IF(DATA!B148="T",1,0)+IF(DATA!B156="T",1,0)+IF(DATA!B165="T",1,0)+IF(DATA!B170="T",1,0)+IF(DATA!B173="T",1,0)</f>
        <v/>
      </c>
      <c r="D12" s="12">
        <f>MIN(115,MAX(0,ROUND(IF(C12&gt;=34,110+2.5*(C12-34),IF(C12&gt;=32,105+2.5*(C12-32),IF(C12&gt;=30,100+2.5*(C12-30),IF(C12&gt;=28,95+2.5*(C12-28),IF(C12&gt;=26,90+2.5*(C12-26),IF(C12&gt;=24,85+2.5*(C12-24),IF(C12&gt;=22,80+2.5*(C12-22),IF(C12&gt;=20,75+2.5*(C12-20),IF(C12&gt;=18,70+2.5*(C12-18),IF(C12&gt;=16,65+2.5*(C12-16),IF(C12&gt;=14,60+2.5*(C12-14),IF(C12&gt;=12,55+2.5*(C12-12),IF(C12&gt;=10,50+2.5*(C12-10),IF(C12&gt;=8,40+5.0*(C12-8),IF(C12&gt;=6,30+5.0*(C12-6),IF(C12&gt;=4,20+5.0*(C12-4),IF(C12&gt;=2,10+5.0*(C12-2),IF(C12&gt;=0,0+5.0*(C12-0),0)))))))))))))))))),0)))</f>
        <v/>
      </c>
      <c r="E12" s="11" t="n">
        <v>0</v>
      </c>
      <c r="F12" s="12">
        <f>MIN(115,MAX(0,D12+E12))</f>
        <v/>
      </c>
      <c r="G12" s="11" t="n"/>
      <c r="H12" s="11">
        <f>IF(F12&gt;=85,"PROMINENT",IF(F12&gt;=75,"SIGNIFICANT",IF(F12&gt;=60,"Trait","Not Sig.")))</f>
        <v/>
      </c>
    </row>
    <row r="13">
      <c r="A13" s="10" t="inlineStr">
        <is>
          <t>Z</t>
        </is>
      </c>
      <c r="B13" s="11" t="inlineStr">
        <is>
          <t>Debasement</t>
        </is>
      </c>
      <c r="C13" s="12">
        <f>IF(DATA!B12="T",2,0)+IF(DATA!B19="T",1,0)+IF(DATA!B33="T",2,0)+IF(DATA!B38="T",1,0)+IF(DATA!B47="T",1,0)+IF(DATA!B51="T",1,0)+IF(DATA!B53="T",1,0)+IF(DATA!B59="T",1,0)+IF(DATA!B64="T",1,0)+IF(DATA!B75="T",2,0)+IF(DATA!B79="T",1,0)+IF(DATA!B86="T",1,0)+IF(DATA!B90="T",1,0)+IF(DATA!B95="T",1,0)+IF(DATA!B99="T",1,0)+IF(DATA!B103="T",1,0)+IF(DATA!B110="T",1,0)+IF(DATA!B112="T",2,0)+IF(DATA!B117="T",1,0)+IF(DATA!B121="T",1,0)+IF(DATA!B125="T",1,0)+IF(DATA!B129="T",1,0)+IF(DATA!B135="T",1,0)+IF(DATA!B139="T",1,0)+IF(DATA!B144="T",1,0)+IF(DATA!B149="T",1,0)+IF(DATA!B151="T",2,0)+IF(DATA!B157="T",1,0)+IF(DATA!B162="T",1,0)+IF(DATA!B166="T",1,0)+IF(DATA!B171="T",1,0)+IF(DATA!B174="T",1,0)+IF(DATA!B178="T",2,0)</f>
        <v/>
      </c>
      <c r="D13" s="12">
        <f>MIN(115,MAX(0,ROUND(IF(C13&gt;=51,110+1.6667*(C13-51),IF(C13&gt;=48,105+1.6667*(C13-48),IF(C13&gt;=45,100+1.6667*(C13-45),IF(C13&gt;=42,95+1.6667*(C13-42),IF(C13&gt;=39,90+1.6667*(C13-39),IF(C13&gt;=36,85+1.6667*(C13-36),IF(C13&gt;=33,80+1.6667*(C13-33),IF(C13&gt;=30,75+1.6667*(C13-30),IF(C13&gt;=27,70+1.6667*(C13-27),IF(C13&gt;=24,65+1.6667*(C13-24),IF(C13&gt;=21,60+1.6667*(C13-21),IF(C13&gt;=18,55+1.6667*(C13-18),IF(C13&gt;=15,50+1.6667*(C13-15),IF(C13&gt;=12,40+3.3333*(C13-12),IF(C13&gt;=9,30+3.3333*(C13-9),IF(C13&gt;=6,20+3.3333*(C13-6),IF(C13&gt;=3,10+3.3333*(C13-3),IF(C13&gt;=0,0+3.3333*(C13-0),0)))))))))))))))))),0)))</f>
        <v/>
      </c>
      <c r="E13" s="11" t="n">
        <v>0</v>
      </c>
      <c r="F13" s="12">
        <f>MIN(115,MAX(0,D13+E13))</f>
        <v/>
      </c>
      <c r="G13" s="11" t="n"/>
      <c r="H13" s="11">
        <f>IF(F13&gt;=85,"PROMINENT",IF(F13&gt;=75,"SIGNIFICANT",IF(F13&gt;=60,"Trait","Not Sig.")))</f>
        <v/>
      </c>
    </row>
    <row r="14">
      <c r="A14" s="10" t="inlineStr">
        <is>
          <t>1</t>
        </is>
      </c>
      <c r="B14" s="11" t="inlineStr">
        <is>
          <t>Schizoid</t>
        </is>
      </c>
      <c r="C14" s="12">
        <f>IF(DATA!B5="T",1,0)+IF(DATA!B25="T",1,0)+IF(DATA!B27="T",2,0)+IF(DATA!B44="T",1,0)+IF(DATA!B48="T",1,0)+IF(DATA!B56="T",1,0)+IF(DATA!B59="T",1,0)+IF(DATA!B60="T",2,0)+IF(DATA!B74="T",1,0)+IF(DATA!B84="T",1,0)+IF(DATA!B101="T",1,0)+IF(DATA!B124="T",1,0)+IF(DATA!B138="T",1,0)+IF(DATA!B150="T",2,0)+IF(DATA!B161="T",1,0)+IF(DATA!B175="T",1,0)</f>
        <v/>
      </c>
      <c r="D14" s="12">
        <f>MIN(115,MAX(0,ROUND(IF(C14&gt;=32,110+2.5*(C14-32),IF(C14&gt;=30,105+2.5*(C14-30),IF(C14&gt;=28,100+2.5*(C14-28),IF(C14&gt;=26,95+2.5*(C14-26),IF(C14&gt;=24,90+2.5*(C14-24),IF(C14&gt;=22,85+2.5*(C14-22),IF(C14&gt;=20,80+2.5*(C14-20),IF(C14&gt;=18,75+2.5*(C14-18),IF(C14&gt;=16,70+2.5*(C14-16),IF(C14&gt;=14,65+2.5*(C14-14),IF(C14&gt;=12,60+2.5*(C14-12),IF(C14&gt;=10,55+2.5*(C14-10),IF(C14&gt;=8,48+3.5*(C14-8),IF(C14&gt;=6,38+5.0*(C14-6),IF(C14&gt;=4,28+5.0*(C14-4),IF(C14&gt;=2,15+6.5*(C14-2),IF(C14&gt;=0,0+7.5*(C14-0),0))))))))))))))))),0)))</f>
        <v/>
      </c>
      <c r="E14" s="11">
        <f>C41</f>
        <v/>
      </c>
      <c r="F14" s="12">
        <f>MIN(115,MAX(0,D14+E14))</f>
        <v/>
      </c>
      <c r="G14" s="11" t="n"/>
      <c r="H14" s="11">
        <f>IF(F14&gt;=85,"PROMINENT",IF(F14&gt;=75,"SIGNIFICANT",IF(F14&gt;=60,"Trait","Not Sig.")))</f>
        <v/>
      </c>
    </row>
    <row r="15">
      <c r="A15" s="10" t="inlineStr">
        <is>
          <t>2A</t>
        </is>
      </c>
      <c r="B15" s="11" t="inlineStr">
        <is>
          <t>Avoidant</t>
        </is>
      </c>
      <c r="C15" s="12">
        <f>IF(DATA!B5="T",1,0)+IF(DATA!B23="T",1,0)+IF(DATA!B25="T",1,0)+IF(DATA!B44="T",1,0)+IF(DATA!B49="T",2,0)+IF(DATA!B56="T",1,0)+IF(DATA!B59="T",1,0)+IF(DATA!B74="T",1,0)+IF(DATA!B81="T",2,0)+IF(DATA!B84="T",1,0)+IF(DATA!B101="T",1,0)+IF(DATA!B124="T",1,0)+IF(DATA!B138="T",1,0)+IF(DATA!B150="T",2,0)+IF(DATA!B161="T",1,0)+IF(DATA!B175="T",1,0)</f>
        <v/>
      </c>
      <c r="D15" s="12">
        <f>MIN(115,MAX(0,ROUND(IF(C15&gt;=34,113+1.0*(C15-34),IF(C15&gt;=32,108+2.5*(C15-32),IF(C15&gt;=30,103+2.5*(C15-30),IF(C15&gt;=28,98+2.5*(C15-28),IF(C15&gt;=26,93+2.5*(C15-26),IF(C15&gt;=24,88+2.5*(C15-24),IF(C15&gt;=22,83+2.5*(C15-22),IF(C15&gt;=20,78+2.5*(C15-20),IF(C15&gt;=18,73+2.5*(C15-18),IF(C15&gt;=16,68+2.5*(C15-16),IF(C15&gt;=14,63+2.5*(C15-14),IF(C15&gt;=12,58+2.5*(C15-12),IF(C15&gt;=10,52+3.0*(C15-10),IF(C15&gt;=8,45+3.5*(C15-8),IF(C15&gt;=6,35+5.0*(C15-6),IF(C15&gt;=4,24+5.5*(C15-4),IF(C15&gt;=2,12+6.0*(C15-2),IF(C15&gt;=0,0+6.0*(C15-0),0)))))))))))))))))),0)))</f>
        <v/>
      </c>
      <c r="E15" s="11">
        <f>C41</f>
        <v/>
      </c>
      <c r="F15" s="12">
        <f>MIN(115,MAX(0,D15+E15))</f>
        <v/>
      </c>
      <c r="G15" s="11" t="n"/>
      <c r="H15" s="11">
        <f>IF(F15&gt;=85,"PROMINENT",IF(F15&gt;=75,"SIGNIFICANT",IF(F15&gt;=60,"Trait","Not Sig.")))</f>
        <v/>
      </c>
    </row>
    <row r="16">
      <c r="A16" s="10" t="inlineStr">
        <is>
          <t>2B</t>
        </is>
      </c>
      <c r="B16" s="11" t="inlineStr">
        <is>
          <t>Depressive</t>
        </is>
      </c>
      <c r="C16" s="12">
        <f>IF(DATA!B5="T",1,0)+IF(DATA!B23="T",2,0)+IF(DATA!B25="T",1,0)+IF(DATA!B44="T",1,0)+IF(DATA!B53="T",2,0)+IF(DATA!B56="T",1,0)+IF(DATA!B59="T",1,0)+IF(DATA!B74="T",1,0)+IF(DATA!B84="T",1,0)+IF(DATA!B101="T",1,0)+IF(DATA!B124="T",1,0)+IF(DATA!B133="T",2,0)+IF(DATA!B138="T",1,0)+IF(DATA!B161="T",1,0)+IF(DATA!B175="T",1,0)</f>
        <v/>
      </c>
      <c r="D16" s="12">
        <f>MIN(115,MAX(0,ROUND(IF(C16&gt;=34,114+0.5*(C16-34),IF(C16&gt;=32,109+2.5*(C16-32),IF(C16&gt;=30,104+2.5*(C16-30),IF(C16&gt;=28,99+2.5*(C16-28),IF(C16&gt;=26,94+2.5*(C16-26),IF(C16&gt;=24,89+2.5*(C16-24),IF(C16&gt;=22,84+2.5*(C16-22),IF(C16&gt;=20,79+2.5*(C16-20),IF(C16&gt;=18,74+2.5*(C16-18),IF(C16&gt;=16,69+2.5*(C16-16),IF(C16&gt;=14,64+2.5*(C16-14),IF(C16&gt;=12,59+2.5*(C16-12),IF(C16&gt;=10,53+3.0*(C16-10),IF(C16&gt;=8,45+4.0*(C16-8),IF(C16&gt;=6,35+5.0*(C16-6),IF(C16&gt;=4,24+5.5*(C16-4),IF(C16&gt;=2,12+6.0*(C16-2),IF(C16&gt;=0,0+6.0*(C16-0),0)))))))))))))))))),0)))</f>
        <v/>
      </c>
      <c r="E16" s="11">
        <f>C41</f>
        <v/>
      </c>
      <c r="F16" s="12">
        <f>MIN(115,MAX(0,D16+E16))</f>
        <v/>
      </c>
      <c r="G16" s="11" t="n"/>
      <c r="H16" s="11">
        <f>IF(F16&gt;=85,"PROMINENT",IF(F16&gt;=75,"SIGNIFICANT",IF(F16&gt;=60,"Trait","Not Sig.")))</f>
        <v/>
      </c>
    </row>
    <row r="17">
      <c r="A17" s="10" t="inlineStr">
        <is>
          <t>3</t>
        </is>
      </c>
      <c r="B17" s="11" t="inlineStr">
        <is>
          <t>Dependent</t>
        </is>
      </c>
      <c r="C17" s="12">
        <f>IF(DATA!B6="T",2,0)+IF(DATA!B8="T",1,0)+IF(DATA!B18="T",1,0)+IF(DATA!B22="T",2,0)+IF(DATA!B25="T",1,0)+IF(DATA!B36="T",1,0)+IF(DATA!B42="T",2,0)+IF(DATA!B48="T",1,0)+IF(DATA!B63="T",1,0)+IF(DATA!B73="T",1,0)+IF(DATA!B78="T",1,0)+IF(DATA!B83="T",1,0)+IF(DATA!B89="T",1,0)+IF(DATA!B94="T",1,0)+IF(DATA!B122="T",1,0)+IF(DATA!B128="T",1,0)+IF(DATA!B163="T",1,0)+IF(DATA!B169="T",1,0)+IF(DATA!B172="T",1,0)</f>
        <v/>
      </c>
      <c r="D17" s="12">
        <f>MIN(115,MAX(0,ROUND(IF(C17&gt;=36,114+0.5*(C17-36),IF(C17&gt;=34,109+2.5*(C17-34),IF(C17&gt;=32,104+2.5*(C17-32),IF(C17&gt;=30,99+2.5*(C17-30),IF(C17&gt;=28,94+2.5*(C17-28),IF(C17&gt;=26,89+2.5*(C17-26),IF(C17&gt;=24,84+2.5*(C17-24),IF(C17&gt;=22,79+2.5*(C17-22),IF(C17&gt;=20,74+2.5*(C17-20),IF(C17&gt;=18,69+2.5*(C17-18),IF(C17&gt;=16,64+2.5*(C17-16),IF(C17&gt;=14,59+2.5*(C17-14),IF(C17&gt;=12,54+2.5*(C17-12),IF(C17&gt;=10,48+3.0*(C17-10),IF(C17&gt;=8,40+4.0*(C17-8),IF(C17&gt;=6,30+5.0*(C17-6),IF(C17&gt;=4,20+5.0*(C17-4),IF(C17&gt;=2,10+5.0*(C17-2),IF(C17&gt;=0,0+5.0*(C17-0),0))))))))))))))))))),0)))</f>
        <v/>
      </c>
      <c r="E17" s="11">
        <f>C41</f>
        <v/>
      </c>
      <c r="F17" s="12">
        <f>MIN(115,MAX(0,D17+E17))</f>
        <v/>
      </c>
      <c r="G17" s="11" t="n"/>
      <c r="H17" s="11">
        <f>IF(F17&gt;=85,"PROMINENT",IF(F17&gt;=75,"SIGNIFICANT",IF(F17&gt;=60,"Trait","Not Sig.")))</f>
        <v/>
      </c>
    </row>
    <row r="18">
      <c r="A18" s="10" t="inlineStr">
        <is>
          <t>4</t>
        </is>
      </c>
      <c r="B18" s="11" t="inlineStr">
        <is>
          <t>Histrionic</t>
        </is>
      </c>
      <c r="C18" s="12">
        <f>IF(DATA!B10="T",1,0)+IF(DATA!B17="T",1,0)+IF(DATA!B29="T",1,0)+IF(DATA!B35="T",1,0)+IF(DATA!B40="T",2,0)+IF(DATA!B43="T",1,0)+IF(DATA!B45="T",1,0)+IF(DATA!B60="T",1,0)+IF(DATA!B69="T",1,0)+IF(DATA!B81="T",1,0)+IF(DATA!B91="T",1,0)+IF(DATA!B96="T",1,0)+IF(DATA!B98="T",2,0)+IF(DATA!B106="T",1,0)+IF(DATA!B109="T",1,0)+IF(DATA!B114="T",1,0)+IF(DATA!B134="T",1,0)+IF(DATA!B158="T",2,0)+IF(DATA!B167="T",1,0)</f>
        <v/>
      </c>
      <c r="D18" s="12">
        <f>MIN(115,MAX(0,ROUND(IF(C18&gt;=48,110+2.5*(C18-48),IF(C18&gt;=45,105+1.6667*(C18-45),IF(C18&gt;=42,100+1.6667*(C18-42),IF(C18&gt;=39,95+1.6667*(C18-39),IF(C18&gt;=36,90+1.6667*(C18-36),IF(C18&gt;=33,85+1.6667*(C18-33),IF(C18&gt;=30,80+1.6667*(C18-30),IF(C18&gt;=27,75+1.6667*(C18-27),IF(C18&gt;=24,70+1.6667*(C18-24),IF(C18&gt;=21,65+1.6667*(C18-21),IF(C18&gt;=18,60+1.6667*(C18-18),IF(C18&gt;=15,54+2.0*(C18-15),IF(C18&gt;=12,47+2.3333*(C18-12),IF(C18&gt;=9,38+3.0*(C18-9),IF(C18&gt;=6,28+3.3333*(C18-6),IF(C18&gt;=3,15+4.3333*(C18-3),IF(C18&gt;=0,0+5.0*(C18-0),0))))))))))))))))),0)))</f>
        <v/>
      </c>
      <c r="E18" s="11">
        <f>C41</f>
        <v/>
      </c>
      <c r="F18" s="12">
        <f>MIN(115,MAX(0,D18+E18))</f>
        <v/>
      </c>
      <c r="G18" s="11" t="n"/>
      <c r="H18" s="11">
        <f>IF(F18&gt;=85,"PROMINENT",IF(F18&gt;=75,"SIGNIFICANT",IF(F18&gt;=60,"Trait","Not Sig.")))</f>
        <v/>
      </c>
    </row>
    <row r="19">
      <c r="A19" s="10" t="inlineStr">
        <is>
          <t>5</t>
        </is>
      </c>
      <c r="B19" s="11" t="inlineStr">
        <is>
          <t>Narcissistic</t>
        </is>
      </c>
      <c r="C19" s="12">
        <f>IF(DATA!B4="T",1,0)+IF(DATA!B10="T",1,0)+IF(DATA!B17="T",1,0)+IF(DATA!B29="T",1,0)+IF(DATA!B35="T",1,0)+IF(DATA!B40="T",2,0)+IF(DATA!B43="T",1,0)+IF(DATA!B45="T",1,0)+IF(DATA!B60="T",1,0)+IF(DATA!B66="T",1,0)+IF(DATA!B69="T",1,0)+IF(DATA!B70="T",2,0)+IF(DATA!B81="T",1,0)+IF(DATA!B88="T",1,0)+IF(DATA!B91="T",1,0)+IF(DATA!B96="T",1,0)+IF(DATA!B106="T",1,0)+IF(DATA!B114="T",1,0)+IF(DATA!B120="T",2,0)+IF(DATA!B134="T",1,0)+IF(DATA!B143="T",1,0)+IF(DATA!B148="T",1,0)+IF(DATA!B158="T",1,0)+IF(DATA!B167="T",1,0)</f>
        <v/>
      </c>
      <c r="D19" s="12">
        <f>MIN(115,MAX(0,ROUND(IF(C19&gt;=51,112+1.0*(C19-51),IF(C19&gt;=48,107+1.6667*(C19-48),IF(C19&gt;=45,102+1.6667*(C19-45),IF(C19&gt;=42,97+1.6667*(C19-42),IF(C19&gt;=39,92+1.6667*(C19-39),IF(C19&gt;=36,87+1.6667*(C19-36),IF(C19&gt;=33,82+1.6667*(C19-33),IF(C19&gt;=30,77+1.6667*(C19-30),IF(C19&gt;=27,72+1.6667*(C19-27),IF(C19&gt;=24,67+1.6667*(C19-24),IF(C19&gt;=21,62+1.6667*(C19-21),IF(C19&gt;=18,56+2.0*(C19-18),IF(C19&gt;=15,50+2.0*(C19-15),IF(C19&gt;=12,42+2.6667*(C19-12),IF(C19&gt;=9,33+3.0*(C19-9),IF(C19&gt;=6,23+3.3333*(C19-6),IF(C19&gt;=3,12+3.6667*(C19-3),IF(C19&gt;=0,0+4.0*(C19-0),0)))))))))))))))))),0)))</f>
        <v/>
      </c>
      <c r="E19" s="11">
        <f>C41</f>
        <v/>
      </c>
      <c r="F19" s="12">
        <f>MIN(115,MAX(0,D19+E19))</f>
        <v/>
      </c>
      <c r="G19" s="11" t="n"/>
      <c r="H19" s="11">
        <f>IF(F19&gt;=85,"PROMINENT",IF(F19&gt;=75,"SIGNIFICANT",IF(F19&gt;=60,"Trait","Not Sig.")))</f>
        <v/>
      </c>
    </row>
    <row r="20">
      <c r="A20" s="10" t="inlineStr">
        <is>
          <t>6A</t>
        </is>
      </c>
      <c r="B20" s="11" t="inlineStr">
        <is>
          <t>Antisocial</t>
        </is>
      </c>
      <c r="C20" s="12">
        <f>IF(DATA!B9="T",1,0)+IF(DATA!B15="T",1,0)+IF(DATA!B17="T",1,0)+IF(DATA!B31="T",1,0)+IF(DATA!B35="T",1,0)+IF(DATA!B37="T",2,0)+IF(DATA!B43="T",1,0)+IF(DATA!B50="T",2,0)+IF(DATA!B61="T",1,0)+IF(DATA!B66="T",1,0)+IF(DATA!B69="T",1,0)+IF(DATA!B80="T",1,0)+IF(DATA!B88="T",1,0)+IF(DATA!B96="T",1,0)+IF(DATA!B107="T",2,0)+IF(DATA!B114="T",1,0)+IF(DATA!B134="T",1,0)+IF(DATA!B158="T",1,0)+IF(DATA!B167="T",1,0)</f>
        <v/>
      </c>
      <c r="D20" s="12">
        <f>MIN(115,MAX(0,ROUND(IF(C20&gt;=34,112+1.5*(C20-34),IF(C20&gt;=32,107+2.5*(C20-32),IF(C20&gt;=30,102+2.5*(C20-30),IF(C20&gt;=28,97+2.5*(C20-28),IF(C20&gt;=26,92+2.5*(C20-26),IF(C20&gt;=24,87+2.5*(C20-24),IF(C20&gt;=22,82+2.5*(C20-22),IF(C20&gt;=20,77+2.5*(C20-20),IF(C20&gt;=18,72+2.5*(C20-18),IF(C20&gt;=16,67+2.5*(C20-16),IF(C20&gt;=14,62+2.5*(C20-14),IF(C20&gt;=12,56+3.0*(C20-12),IF(C20&gt;=10,50+3.0*(C20-10),IF(C20&gt;=8,42+4.0*(C20-8),IF(C20&gt;=6,33+4.5*(C20-6),IF(C20&gt;=4,23+5.0*(C20-4),IF(C20&gt;=2,12+5.5*(C20-2),IF(C20&gt;=0,0+6.0*(C20-0),0)))))))))))))))))),0)))</f>
        <v/>
      </c>
      <c r="E20" s="11">
        <f>C41</f>
        <v/>
      </c>
      <c r="F20" s="12">
        <f>MIN(115,MAX(0,D20+E20))</f>
        <v/>
      </c>
      <c r="G20" s="11" t="n"/>
      <c r="H20" s="11">
        <f>IF(F20&gt;=85,"PROMINENT",IF(F20&gt;=75,"SIGNIFICANT",IF(F20&gt;=60,"Trait","Not Sig.")))</f>
        <v/>
      </c>
    </row>
    <row r="21">
      <c r="A21" s="10" t="inlineStr">
        <is>
          <t>6B</t>
        </is>
      </c>
      <c r="B21" s="11" t="inlineStr">
        <is>
          <t>Aggressive/Sadistic</t>
        </is>
      </c>
      <c r="C21" s="12">
        <f>IF(DATA!B9="T",1,0)+IF(DATA!B15="T",1,0)+IF(DATA!B20="T",2,0)+IF(DATA!B31="T",1,0)+IF(DATA!B35="T",1,0)+IF(DATA!B37="T",1,0)+IF(DATA!B50="T",1,0)+IF(DATA!B61="T",1,0)+IF(DATA!B66="T",1,0)+IF(DATA!B69="T",1,0)+IF(DATA!B70="T",2,0)+IF(DATA!B80="T",1,0)+IF(DATA!B88="T",1,0)+IF(DATA!B96="T",1,0)+IF(DATA!B107="T",1,0)+IF(DATA!B114="T",1,0)+IF(DATA!B120="T",2,0)+IF(DATA!B134="T",1,0)+IF(DATA!B158="T",1,0)+IF(DATA!B167="T",1,0)</f>
        <v/>
      </c>
      <c r="D21" s="12">
        <f>MIN(115,MAX(0,ROUND(IF(C21&gt;=51,112+1.0*(C21-51),IF(C21&gt;=48,107+1.6667*(C21-48),IF(C21&gt;=45,102+1.6667*(C21-45),IF(C21&gt;=42,97+1.6667*(C21-42),IF(C21&gt;=39,92+1.6667*(C21-39),IF(C21&gt;=36,87+1.6667*(C21-36),IF(C21&gt;=33,82+1.6667*(C21-33),IF(C21&gt;=30,77+1.6667*(C21-30),IF(C21&gt;=27,72+1.6667*(C21-27),IF(C21&gt;=24,67+1.6667*(C21-24),IF(C21&gt;=21,62+1.6667*(C21-21),IF(C21&gt;=18,56+2.0*(C21-18),IF(C21&gt;=15,50+2.0*(C21-15),IF(C21&gt;=12,42+2.6667*(C21-12),IF(C21&gt;=9,33+3.0*(C21-9),IF(C21&gt;=6,23+3.3333*(C21-6),IF(C21&gt;=3,12+3.6667*(C21-3),IF(C21&gt;=0,0+4.0*(C21-0),0)))))))))))))))))),0)))</f>
        <v/>
      </c>
      <c r="E21" s="11">
        <f>C41</f>
        <v/>
      </c>
      <c r="F21" s="12">
        <f>MIN(115,MAX(0,D21+E21))</f>
        <v/>
      </c>
      <c r="G21" s="11" t="n"/>
      <c r="H21" s="11">
        <f>IF(F21&gt;=85,"PROMINENT",IF(F21&gt;=75,"SIGNIFICANT",IF(F21&gt;=60,"Trait","Not Sig.")))</f>
        <v/>
      </c>
    </row>
    <row r="22">
      <c r="A22" s="10" t="inlineStr">
        <is>
          <t>7</t>
        </is>
      </c>
      <c r="B22" s="11" t="inlineStr">
        <is>
          <t>Compulsive</t>
        </is>
      </c>
      <c r="C22" s="12">
        <f>IF(DATA!B7="T",1,0)+IF(DATA!B10="T",1,0)+IF(DATA!B29="T",1,0)+IF(DATA!B35="T",1,0)+IF(DATA!B40="T",1,0)+IF(DATA!B43="T",1,0)+IF(DATA!B60="T",1,0)+IF(DATA!B66="T",1,0)+IF(DATA!B71="T",1,0)+IF(DATA!B77="T",1,0)+IF(DATA!B85="T",1,0)+IF(DATA!B91="T",1,0)+IF(DATA!B98="T",1,0)+IF(DATA!B102="T",2,0)+IF(DATA!B106="T",1,0)+IF(DATA!B136="T",1,0)+IF(DATA!B143="T",2,0)+IF(DATA!B148="T",1,0)+IF(DATA!B165="T",2,0)+IF(DATA!B167="T",1,0)</f>
        <v/>
      </c>
      <c r="D22" s="12">
        <f>MIN(115,MAX(0,ROUND(IF(C22&gt;=48,110+2.5*(C22-48),IF(C22&gt;=45,105+1.6667*(C22-45),IF(C22&gt;=42,100+1.6667*(C22-42),IF(C22&gt;=39,95+1.6667*(C22-39),IF(C22&gt;=36,90+1.6667*(C22-36),IF(C22&gt;=33,85+1.6667*(C22-33),IF(C22&gt;=30,80+1.6667*(C22-30),IF(C22&gt;=27,75+1.6667*(C22-27),IF(C22&gt;=24,70+1.6667*(C22-24),IF(C22&gt;=21,65+1.6667*(C22-21),IF(C22&gt;=18,60+1.6667*(C22-18),IF(C22&gt;=15,54+2.0*(C22-15),IF(C22&gt;=12,47+2.3333*(C22-12),IF(C22&gt;=9,38+3.0*(C22-9),IF(C22&gt;=6,28+3.3333*(C22-6),IF(C22&gt;=3,15+4.3333*(C22-3),IF(C22&gt;=0,0+5.0*(C22-0),0))))))))))))))))),0)))</f>
        <v/>
      </c>
      <c r="E22" s="11">
        <f>C41</f>
        <v/>
      </c>
      <c r="F22" s="12">
        <f>MIN(115,MAX(0,D22+E22))</f>
        <v/>
      </c>
      <c r="G22" s="11" t="n"/>
      <c r="H22" s="11">
        <f>IF(F22&gt;=85,"PROMINENT",IF(F22&gt;=75,"SIGNIFICANT",IF(F22&gt;=60,"Trait","Not Sig.")))</f>
        <v/>
      </c>
    </row>
    <row r="23">
      <c r="A23" s="10" t="inlineStr">
        <is>
          <t>8A</t>
        </is>
      </c>
      <c r="B23" s="11" t="inlineStr">
        <is>
          <t>Negativistic</t>
        </is>
      </c>
      <c r="C23" s="12">
        <f>IF(DATA!B8="T",1,0)+IF(DATA!B13="T",2,0)+IF(DATA!B18="T",1,0)+IF(DATA!B23="T",1,0)+IF(DATA!B36="T",1,0)+IF(DATA!B42="T",2,0)+IF(DATA!B49="T",1,0)+IF(DATA!B63="T",1,0)+IF(DATA!B73="T",1,0)+IF(DATA!B78="T",1,0)+IF(DATA!B83="T",1,0)+IF(DATA!B89="T",1,0)+IF(DATA!B94="T",1,0)+IF(DATA!B122="T",1,0)+IF(DATA!B128="T",1,0)+IF(DATA!B163="T",1,0)+IF(DATA!B168="T",2,0)+IF(DATA!B169="T",1,0)+IF(DATA!B172="T",1,0)</f>
        <v/>
      </c>
      <c r="D23" s="12">
        <f>MIN(115,MAX(0,ROUND(IF(C23&gt;=34,114+0.5*(C23-34),IF(C23&gt;=32,109+2.5*(C23-32),IF(C23&gt;=30,104+2.5*(C23-30),IF(C23&gt;=28,99+2.5*(C23-28),IF(C23&gt;=26,94+2.5*(C23-26),IF(C23&gt;=24,89+2.5*(C23-24),IF(C23&gt;=22,84+2.5*(C23-22),IF(C23&gt;=20,79+2.5*(C23-20),IF(C23&gt;=18,74+2.5*(C23-18),IF(C23&gt;=16,69+2.5*(C23-16),IF(C23&gt;=14,64+2.5*(C23-14),IF(C23&gt;=12,59+2.5*(C23-12),IF(C23&gt;=10,53+3.0*(C23-10),IF(C23&gt;=8,45+4.0*(C23-8),IF(C23&gt;=6,35+5.0*(C23-6),IF(C23&gt;=4,24+5.5*(C23-4),IF(C23&gt;=2,12+6.0*(C23-2),IF(C23&gt;=0,0+6.0*(C23-0),0)))))))))))))))))),0)))</f>
        <v/>
      </c>
      <c r="E23" s="11">
        <f>C41</f>
        <v/>
      </c>
      <c r="F23" s="12">
        <f>MIN(115,MAX(0,D23+E23))</f>
        <v/>
      </c>
      <c r="G23" s="11" t="n"/>
      <c r="H23" s="11">
        <f>IF(F23&gt;=85,"PROMINENT",IF(F23&gt;=75,"SIGNIFICANT",IF(F23&gt;=60,"Trait","Not Sig.")))</f>
        <v/>
      </c>
    </row>
    <row r="24">
      <c r="A24" s="10" t="inlineStr">
        <is>
          <t>8B</t>
        </is>
      </c>
      <c r="B24" s="11" t="inlineStr">
        <is>
          <t>Masochistic</t>
        </is>
      </c>
      <c r="C24" s="12">
        <f>IF(DATA!B8="T",1,0)+IF(DATA!B18="T",1,0)+IF(DATA!B23="T",1,0)+IF(DATA!B28="T",2,0)+IF(DATA!B36="T",1,0)+IF(DATA!B49="T",1,0)+IF(DATA!B52="T",2,0)+IF(DATA!B63="T",1,0)+IF(DATA!B73="T",1,0)+IF(DATA!B78="T",1,0)+IF(DATA!B83="T",1,0)+IF(DATA!B89="T",1,0)+IF(DATA!B94="T",1,0)+IF(DATA!B122="T",1,0)+IF(DATA!B128="T",1,0)+IF(DATA!B153="T",2,0)+IF(DATA!B163="T",1,0)+IF(DATA!B172="T",1,0)</f>
        <v/>
      </c>
      <c r="D24" s="12">
        <f>MIN(115,MAX(0,ROUND(IF(C24&gt;=34,114+0.5*(C24-34),IF(C24&gt;=32,109+2.5*(C24-32),IF(C24&gt;=30,104+2.5*(C24-30),IF(C24&gt;=28,99+2.5*(C24-28),IF(C24&gt;=26,94+2.5*(C24-26),IF(C24&gt;=24,89+2.5*(C24-24),IF(C24&gt;=22,84+2.5*(C24-22),IF(C24&gt;=20,79+2.5*(C24-20),IF(C24&gt;=18,74+2.5*(C24-18),IF(C24&gt;=16,69+2.5*(C24-16),IF(C24&gt;=14,64+2.5*(C24-14),IF(C24&gt;=12,59+2.5*(C24-12),IF(C24&gt;=10,53+3.0*(C24-10),IF(C24&gt;=8,45+4.0*(C24-8),IF(C24&gt;=6,35+5.0*(C24-6),IF(C24&gt;=4,24+5.5*(C24-4),IF(C24&gt;=2,12+6.0*(C24-2),IF(C24&gt;=0,0+6.0*(C24-0),0)))))))))))))))))),0)))</f>
        <v/>
      </c>
      <c r="E24" s="11">
        <f>C41</f>
        <v/>
      </c>
      <c r="F24" s="12">
        <f>MIN(115,MAX(0,D24+E24))</f>
        <v/>
      </c>
      <c r="G24" s="11" t="n"/>
      <c r="H24" s="11">
        <f>IF(F24&gt;=85,"PROMINENT",IF(F24&gt;=75,"SIGNIFICANT",IF(F24&gt;=60,"Trait","Not Sig.")))</f>
        <v/>
      </c>
    </row>
    <row r="25">
      <c r="A25" s="10" t="inlineStr">
        <is>
          <t>S</t>
        </is>
      </c>
      <c r="B25" s="11" t="inlineStr">
        <is>
          <t>Schizotypal</t>
        </is>
      </c>
      <c r="C25" s="12">
        <f>IF(DATA!B5="T",1,0)+IF(DATA!B23="T",1,0)+IF(DATA!B25="T",1,0)+IF(DATA!B27="T",2,0)+IF(DATA!B44="T",1,0)+IF(DATA!B49="T",1,0)+IF(DATA!B56="T",1,0)+IF(DATA!B59="T",1,0)+IF(DATA!B60="T",2,0)+IF(DATA!B74="T",1,0)+IF(DATA!B81="T",1,0)+IF(DATA!B84="T",1,0)+IF(DATA!B101="T",1,0)+IF(DATA!B124="T",1,0)+IF(DATA!B138="T",1,0)+IF(DATA!B150="T",2,0)+IF(DATA!B161="T",1,0)+IF(DATA!B175="T",1,0)</f>
        <v/>
      </c>
      <c r="D25" s="12">
        <f>MIN(115,MAX(0,ROUND(IF(C25&gt;=34,114+0.5*(C25-34),IF(C25&gt;=32,109+2.5*(C25-32),IF(C25&gt;=30,104+2.5*(C25-30),IF(C25&gt;=28,99+2.5*(C25-28),IF(C25&gt;=26,94+2.5*(C25-26),IF(C25&gt;=24,89+2.5*(C25-24),IF(C25&gt;=22,84+2.5*(C25-22),IF(C25&gt;=20,79+2.5*(C25-20),IF(C25&gt;=18,74+2.5*(C25-18),IF(C25&gt;=16,69+2.5*(C25-16),IF(C25&gt;=14,64+2.5*(C25-14),IF(C25&gt;=12,59+2.5*(C25-12),IF(C25&gt;=10,53+3.0*(C25-10),IF(C25&gt;=8,45+4.0*(C25-8),IF(C25&gt;=6,35+5.0*(C25-6),IF(C25&gt;=4,24+5.5*(C25-4),IF(C25&gt;=2,12+6.0*(C25-2),IF(C25&gt;=0,0+6.0*(C25-0),0)))))))))))))))))),0)))</f>
        <v/>
      </c>
      <c r="E25" s="11">
        <f>C42</f>
        <v/>
      </c>
      <c r="F25" s="12">
        <f>MIN(115,MAX(0,D25+E25))</f>
        <v/>
      </c>
      <c r="G25" s="11" t="n"/>
      <c r="H25" s="11">
        <f>IF(F25&gt;=85,"PROMINENT",IF(F25&gt;=75,"SIGNIFICANT",IF(F25&gt;=60,"Trait","Not Sig.")))</f>
        <v/>
      </c>
    </row>
    <row r="26">
      <c r="A26" s="10" t="inlineStr">
        <is>
          <t>C</t>
        </is>
      </c>
      <c r="B26" s="11" t="inlineStr">
        <is>
          <t>Borderline</t>
        </is>
      </c>
      <c r="C26" s="12">
        <f>IF(DATA!B8="T",1,0)+IF(DATA!B13="T",1,0)+IF(DATA!B18="T",1,0)+IF(DATA!B23="T",1,0)+IF(DATA!B28="T",2,0)+IF(DATA!B36="T",1,0)+IF(DATA!B42="T",1,0)+IF(DATA!B49="T",1,0)+IF(DATA!B52="T",2,0)+IF(DATA!B63="T",1,0)+IF(DATA!B73="T",1,0)+IF(DATA!B78="T",1,0)+IF(DATA!B83="T",1,0)+IF(DATA!B89="T",1,0)+IF(DATA!B94="T",1,0)+IF(DATA!B122="T",1,0)+IF(DATA!B128="T",1,0)+IF(DATA!B163="T",1,0)+IF(DATA!B168="T",2,0)</f>
        <v/>
      </c>
      <c r="D26" s="12">
        <f>MIN(115,MAX(0,ROUND(IF(C26&gt;=34,114+0.5*(C26-34),IF(C26&gt;=32,109+2.5*(C26-32),IF(C26&gt;=30,104+2.5*(C26-30),IF(C26&gt;=28,99+2.5*(C26-28),IF(C26&gt;=26,94+2.5*(C26-26),IF(C26&gt;=24,89+2.5*(C26-24),IF(C26&gt;=22,84+2.5*(C26-22),IF(C26&gt;=20,79+2.5*(C26-20),IF(C26&gt;=18,74+2.5*(C26-18),IF(C26&gt;=16,69+2.5*(C26-16),IF(C26&gt;=14,64+2.5*(C26-14),IF(C26&gt;=12,59+2.5*(C26-12),IF(C26&gt;=10,53+3.0*(C26-10),IF(C26&gt;=8,45+4.0*(C26-8),IF(C26&gt;=6,35+5.0*(C26-6),IF(C26&gt;=4,24+5.5*(C26-4),IF(C26&gt;=2,12+6.0*(C26-2),IF(C26&gt;=0,0+6.0*(C26-0),0)))))))))))))))))),0)))</f>
        <v/>
      </c>
      <c r="E26" s="11">
        <f>C42</f>
        <v/>
      </c>
      <c r="F26" s="12">
        <f>MIN(115,MAX(0,D26+E26))</f>
        <v/>
      </c>
      <c r="G26" s="11" t="n"/>
      <c r="H26" s="11">
        <f>IF(F26&gt;=85,"PROMINENT",IF(F26&gt;=75,"SIGNIFICANT",IF(F26&gt;=60,"Trait","Not Sig.")))</f>
        <v/>
      </c>
    </row>
    <row r="27">
      <c r="A27" s="10" t="inlineStr">
        <is>
          <t>P</t>
        </is>
      </c>
      <c r="B27" s="11" t="inlineStr">
        <is>
          <t>Paranoid</t>
        </is>
      </c>
      <c r="C27" s="12">
        <f>IF(DATA!B9="T",1,0)+IF(DATA!B11="T",2,0)+IF(DATA!B15="T",1,0)+IF(DATA!B20="T",1,0)+IF(DATA!B31="T",1,0)+IF(DATA!B32="T",2,0)+IF(DATA!B35="T",1,0)+IF(DATA!B37="T",1,0)+IF(DATA!B50="T",1,0)+IF(DATA!B61="T",1,0)+IF(DATA!B66="T",1,0)+IF(DATA!B70="T",1,0)+IF(DATA!B80="T",1,0)+IF(DATA!B88="T",1,0)+IF(DATA!B96="T",1,0)+IF(DATA!B107="T",1,0)+IF(DATA!B114="T",1,0)+IF(DATA!B120="T",1,0)+IF(DATA!B146="T",2,0)+IF(DATA!B158="T",1,0)</f>
        <v/>
      </c>
      <c r="D27" s="12">
        <f>MIN(115,MAX(0,ROUND(IF(C27&gt;=51,112+1.0*(C27-51),IF(C27&gt;=48,107+1.6667*(C27-48),IF(C27&gt;=45,102+1.6667*(C27-45),IF(C27&gt;=42,97+1.6667*(C27-42),IF(C27&gt;=39,92+1.6667*(C27-39),IF(C27&gt;=36,87+1.6667*(C27-36),IF(C27&gt;=33,82+1.6667*(C27-33),IF(C27&gt;=30,77+1.6667*(C27-30),IF(C27&gt;=27,72+1.6667*(C27-27),IF(C27&gt;=24,67+1.6667*(C27-24),IF(C27&gt;=21,62+1.6667*(C27-21),IF(C27&gt;=18,56+2.0*(C27-18),IF(C27&gt;=15,50+2.0*(C27-15),IF(C27&gt;=12,42+2.6667*(C27-12),IF(C27&gt;=9,33+3.0*(C27-9),IF(C27&gt;=6,23+3.3333*(C27-6),IF(C27&gt;=3,12+3.6667*(C27-3),IF(C27&gt;=0,0+4.0*(C27-0),0)))))))))))))))))),0)))</f>
        <v/>
      </c>
      <c r="E27" s="11">
        <f>C42</f>
        <v/>
      </c>
      <c r="F27" s="12">
        <f>MIN(115,MAX(0,D27+E27))</f>
        <v/>
      </c>
      <c r="G27" s="11" t="n"/>
      <c r="H27" s="11">
        <f>IF(F27&gt;=85,"PROMINENT",IF(F27&gt;=75,"SIGNIFICANT",IF(F27&gt;=60,"Trait","Not Sig.")))</f>
        <v/>
      </c>
    </row>
    <row r="28">
      <c r="A28" s="10" t="inlineStr">
        <is>
          <t>A</t>
        </is>
      </c>
      <c r="B28" s="11" t="inlineStr">
        <is>
          <t>Anxiety</t>
        </is>
      </c>
      <c r="C28" s="12">
        <f>IF(DATA!B19="T",1,0)+IF(DATA!B38="T",1,0)+IF(DATA!B47="T",2,0)+IF(DATA!B51="T",1,0)+IF(DATA!B59="T",1,0)+IF(DATA!B86="T",1,0)+IF(DATA!B90="T",1,0)+IF(DATA!B95="T",1,0)+IF(DATA!B110="T",1,0)+IF(DATA!B117="T",1,0)+IF(DATA!B121="T",2,0)+IF(DATA!B125="T",1,0)+IF(DATA!B139="T",1,0)+IF(DATA!B157="T",1,0)+IF(DATA!B166="T",1,0)</f>
        <v/>
      </c>
      <c r="D28" s="12">
        <f>MIN(115,MAX(0,ROUND(IF(C28&gt;=28,110+2.5*(C28-28),IF(C28&gt;=26,105+2.5*(C28-26),IF(C28&gt;=24,100+2.5*(C28-24),IF(C28&gt;=22,95+2.5*(C28-22),IF(C28&gt;=20,90+2.5*(C28-20),IF(C28&gt;=18,85+2.5*(C28-18),IF(C28&gt;=16,79+3.0*(C28-16),IF(C28&gt;=14,73+3.0*(C28-14),IF(C28&gt;=12,67+3.0*(C28-12),IF(C28&gt;=10,60+3.5*(C28-10),IF(C28&gt;=8,52+4.0*(C28-8),IF(C28&gt;=6,42+5.0*(C28-6),IF(C28&gt;=4,30+6.0*(C28-4),IF(C28&gt;=2,15+7.5*(C28-2),IF(C28&gt;=0,0+7.5*(C28-0),0))))))))))))))),0)))</f>
        <v/>
      </c>
      <c r="E28" s="11">
        <f>C42</f>
        <v/>
      </c>
      <c r="F28" s="12">
        <f>MIN(115,MAX(0,D28+E28))</f>
        <v/>
      </c>
      <c r="G28" s="11" t="n"/>
      <c r="H28" s="11">
        <f>IF(F28&gt;=85,"PROMINENT",IF(F28&gt;=75,"SIGNIFICANT",IF(F28&gt;=60,"Trait","Not Sig.")))</f>
        <v/>
      </c>
    </row>
    <row r="29">
      <c r="A29" s="10" t="inlineStr">
        <is>
          <t>H</t>
        </is>
      </c>
      <c r="B29" s="11" t="inlineStr">
        <is>
          <t>Somatoform</t>
        </is>
      </c>
      <c r="C29" s="12">
        <f>IF(DATA!B19="T",1,0)+IF(DATA!B38="T",1,0)+IF(DATA!B51="T",1,0)+IF(DATA!B64="T",1,0)+IF(DATA!B79="T",2,0)+IF(DATA!B90="T",1,0)+IF(DATA!B95="T",1,0)+IF(DATA!B103="T",1,0)+IF(DATA!B110="T",1,0)+IF(DATA!B117="T",1,0)+IF(DATA!B135="T",2,0)+IF(DATA!B139="T",1,0)+IF(DATA!B166="T",1,0)</f>
        <v/>
      </c>
      <c r="D29" s="12">
        <f>MIN(115,MAX(0,ROUND(IF(C29&gt;=30,113+1.0*(C29-30),IF(C29&gt;=28,108+2.5*(C29-28),IF(C29&gt;=26,103+2.5*(C29-26),IF(C29&gt;=24,98+2.5*(C29-24),IF(C29&gt;=22,93+2.5*(C29-22),IF(C29&gt;=20,88+2.5*(C29-20),IF(C29&gt;=18,83+2.5*(C29-18),IF(C29&gt;=16,77+3.0*(C29-16),IF(C29&gt;=14,71+3.0*(C29-14),IF(C29&gt;=12,65+3.0*(C29-12),IF(C29&gt;=10,58+3.5*(C29-10),IF(C29&gt;=8,50+4.0*(C29-8),IF(C29&gt;=6,40+5.0*(C29-6),IF(C29&gt;=4,28+6.0*(C29-4),IF(C29&gt;=2,15+6.5*(C29-2),IF(C29&gt;=0,0+7.5*(C29-0),0)))))))))))))))),0)))</f>
        <v/>
      </c>
      <c r="E29" s="11">
        <f>C42</f>
        <v/>
      </c>
      <c r="F29" s="12">
        <f>MIN(115,MAX(0,D29+E29))</f>
        <v/>
      </c>
      <c r="G29" s="11" t="n"/>
      <c r="H29" s="11">
        <f>IF(F29&gt;=85,"PROMINENT",IF(F29&gt;=75,"SIGNIFICANT",IF(F29&gt;=60,"Trait","Not Sig.")))</f>
        <v/>
      </c>
    </row>
    <row r="30">
      <c r="A30" s="10" t="inlineStr">
        <is>
          <t>N</t>
        </is>
      </c>
      <c r="B30" s="11" t="inlineStr">
        <is>
          <t>Bipolar:Manic</t>
        </is>
      </c>
      <c r="C30" s="12">
        <f>IF(DATA!B9="T",1,0)+IF(DATA!B15="T",1,0)+IF(DATA!B17="T",1,0)+IF(DATA!B31="T",1,0)+IF(DATA!B35="T",1,0)+IF(DATA!B37="T",1,0)+IF(DATA!B40="T",2,0)+IF(DATA!B50="T",1,0)+IF(DATA!B61="T",1,0)+IF(DATA!B66="T",1,0)+IF(DATA!B80="T",1,0)+IF(DATA!B88="T",1,0)+IF(DATA!B98="T",2,0)</f>
        <v/>
      </c>
      <c r="D30" s="12">
        <f>MIN(115,MAX(0,ROUND(IF(C30&gt;=30,113+1.0*(C30-30),IF(C30&gt;=28,108+2.5*(C30-28),IF(C30&gt;=26,103+2.5*(C30-26),IF(C30&gt;=24,98+2.5*(C30-24),IF(C30&gt;=22,93+2.5*(C30-22),IF(C30&gt;=20,88+2.5*(C30-20),IF(C30&gt;=18,83+2.5*(C30-18),IF(C30&gt;=16,77+3.0*(C30-16),IF(C30&gt;=14,71+3.0*(C30-14),IF(C30&gt;=12,65+3.0*(C30-12),IF(C30&gt;=10,58+3.5*(C30-10),IF(C30&gt;=8,50+4.0*(C30-8),IF(C30&gt;=6,40+5.0*(C30-6),IF(C30&gt;=4,28+6.0*(C30-4),IF(C30&gt;=2,15+6.5*(C30-2),IF(C30&gt;=0,0+7.5*(C30-0),0)))))))))))))))),0)))</f>
        <v/>
      </c>
      <c r="E30" s="11">
        <f>C42</f>
        <v/>
      </c>
      <c r="F30" s="12">
        <f>MIN(115,MAX(0,D30+E30))</f>
        <v/>
      </c>
      <c r="G30" s="11" t="n"/>
      <c r="H30" s="11">
        <f>IF(F30&gt;=85,"PROMINENT",IF(F30&gt;=75,"SIGNIFICANT",IF(F30&gt;=60,"Trait","Not Sig.")))</f>
        <v/>
      </c>
    </row>
    <row r="31">
      <c r="A31" s="10" t="inlineStr">
        <is>
          <t>D</t>
        </is>
      </c>
      <c r="B31" s="11" t="inlineStr">
        <is>
          <t>Dysthymia</t>
        </is>
      </c>
      <c r="C31" s="12">
        <f>IF(DATA!B19="T",1,0)+IF(DATA!B38="T",1,0)+IF(DATA!B47="T",1,0)+IF(DATA!B51="T",1,0)+IF(DATA!B53="T",2,0)+IF(DATA!B59="T",1,0)+IF(DATA!B86="T",1,0)+IF(DATA!B90="T",1,0)+IF(DATA!B95="T",1,0)+IF(DATA!B99="T",1,0)+IF(DATA!B110="T",1,0)+IF(DATA!B125="T",1,0)+IF(DATA!B133="T",2,0)+IF(DATA!B139="T",1,0)+IF(DATA!B166="T",1,0)</f>
        <v/>
      </c>
      <c r="D31" s="12">
        <f>MIN(115,MAX(0,ROUND(IF(C31&gt;=30,113+1.0*(C31-30),IF(C31&gt;=28,108+2.5*(C31-28),IF(C31&gt;=26,103+2.5*(C31-26),IF(C31&gt;=24,98+2.5*(C31-24),IF(C31&gt;=22,93+2.5*(C31-22),IF(C31&gt;=20,88+2.5*(C31-20),IF(C31&gt;=18,83+2.5*(C31-18),IF(C31&gt;=16,77+3.0*(C31-16),IF(C31&gt;=14,71+3.0*(C31-14),IF(C31&gt;=12,65+3.0*(C31-12),IF(C31&gt;=10,58+3.5*(C31-10),IF(C31&gt;=8,50+4.0*(C31-8),IF(C31&gt;=6,40+5.0*(C31-6),IF(C31&gt;=4,28+6.0*(C31-4),IF(C31&gt;=2,15+6.5*(C31-2),IF(C31&gt;=0,0+7.5*(C31-0),0)))))))))))))))),0)))</f>
        <v/>
      </c>
      <c r="E31" s="11">
        <f>C42</f>
        <v/>
      </c>
      <c r="F31" s="12">
        <f>MIN(115,MAX(0,D31+E31))</f>
        <v/>
      </c>
      <c r="G31" s="11" t="n"/>
      <c r="H31" s="11">
        <f>IF(F31&gt;=85,"PROMINENT",IF(F31&gt;=75,"SIGNIFICANT",IF(F31&gt;=60,"Trait","Not Sig.")))</f>
        <v/>
      </c>
    </row>
    <row r="32">
      <c r="A32" s="10" t="inlineStr">
        <is>
          <t>B</t>
        </is>
      </c>
      <c r="B32" s="11" t="inlineStr">
        <is>
          <t>Alcohol Dep.</t>
        </is>
      </c>
      <c r="C32" s="12">
        <f>IF(DATA!B9="T",1,0)+IF(DATA!B15="T",1,0)+IF(DATA!B31="T",1,0)+IF(DATA!B37="T",1,0)+IF(DATA!B50="T",1,0)+IF(DATA!B55="T",2,0)+IF(DATA!B61="T",1,0)+IF(DATA!B66="T",1,0)+IF(DATA!B80="T",1,0)+IF(DATA!B88="T",1,0)+IF(DATA!B107="T",1,0)+IF(DATA!B114="T",1,0)+IF(DATA!B132="T",2,0)+IF(DATA!B134="T",1,0)+IF(DATA!B158="T",1,0)</f>
        <v/>
      </c>
      <c r="D32" s="12">
        <f>MIN(115,MAX(0,ROUND(IF(C32&gt;=30,113+1.0*(C32-30),IF(C32&gt;=28,108+2.5*(C32-28),IF(C32&gt;=26,103+2.5*(C32-26),IF(C32&gt;=24,98+2.5*(C32-24),IF(C32&gt;=22,93+2.5*(C32-22),IF(C32&gt;=20,88+2.5*(C32-20),IF(C32&gt;=18,83+2.5*(C32-18),IF(C32&gt;=16,77+3.0*(C32-16),IF(C32&gt;=14,71+3.0*(C32-14),IF(C32&gt;=12,65+3.0*(C32-12),IF(C32&gt;=10,58+3.5*(C32-10),IF(C32&gt;=8,50+4.0*(C32-8),IF(C32&gt;=6,40+5.0*(C32-6),IF(C32&gt;=4,28+6.0*(C32-4),IF(C32&gt;=2,15+6.5*(C32-2),IF(C32&gt;=0,0+7.5*(C32-0),0)))))))))))))))),0)))</f>
        <v/>
      </c>
      <c r="E32" s="11">
        <f>C42</f>
        <v/>
      </c>
      <c r="F32" s="12">
        <f>MIN(115,MAX(0,D32+E32))</f>
        <v/>
      </c>
      <c r="G32" s="11" t="n"/>
      <c r="H32" s="11">
        <f>IF(F32&gt;=85,"PROMINENT",IF(F32&gt;=75,"SIGNIFICANT",IF(F32&gt;=60,"Trait","Not Sig.")))</f>
        <v/>
      </c>
    </row>
    <row r="33">
      <c r="A33" s="10" t="inlineStr">
        <is>
          <t>T</t>
        </is>
      </c>
      <c r="B33" s="11" t="inlineStr">
        <is>
          <t>Drug Dep.</t>
        </is>
      </c>
      <c r="C33" s="12">
        <f>IF(DATA!B9="T",1,0)+IF(DATA!B15="T",1,0)+IF(DATA!B31="T",1,0)+IF(DATA!B37="T",1,0)+IF(DATA!B41="T",2,0)+IF(DATA!B50="T",1,0)+IF(DATA!B61="T",1,0)+IF(DATA!B66="T",1,0)+IF(DATA!B67="T",2,0)+IF(DATA!B80="T",1,0)+IF(DATA!B88="T",1,0)+IF(DATA!B107="T",1,0)+IF(DATA!B114="T",1,0)+IF(DATA!B134="T",1,0)</f>
        <v/>
      </c>
      <c r="D33" s="12">
        <f>MIN(115,MAX(0,ROUND(IF(C33&gt;=30,113+1.0*(C33-30),IF(C33&gt;=28,108+2.5*(C33-28),IF(C33&gt;=26,103+2.5*(C33-26),IF(C33&gt;=24,98+2.5*(C33-24),IF(C33&gt;=22,93+2.5*(C33-22),IF(C33&gt;=20,88+2.5*(C33-20),IF(C33&gt;=18,83+2.5*(C33-18),IF(C33&gt;=16,77+3.0*(C33-16),IF(C33&gt;=14,71+3.0*(C33-14),IF(C33&gt;=12,65+3.0*(C33-12),IF(C33&gt;=10,58+3.5*(C33-10),IF(C33&gt;=8,50+4.0*(C33-8),IF(C33&gt;=6,40+5.0*(C33-6),IF(C33&gt;=4,28+6.0*(C33-4),IF(C33&gt;=2,15+6.5*(C33-2),IF(C33&gt;=0,0+7.5*(C33-0),0)))))))))))))))),0)))</f>
        <v/>
      </c>
      <c r="E33" s="11">
        <f>C42</f>
        <v/>
      </c>
      <c r="F33" s="12">
        <f>MIN(115,MAX(0,D33+E33))</f>
        <v/>
      </c>
      <c r="G33" s="11" t="n"/>
      <c r="H33" s="11">
        <f>IF(F33&gt;=85,"PROMINENT",IF(F33&gt;=75,"SIGNIFICANT",IF(F33&gt;=60,"Trait","Not Sig.")))</f>
        <v/>
      </c>
    </row>
    <row r="34">
      <c r="A34" s="10" t="inlineStr">
        <is>
          <t>R</t>
        </is>
      </c>
      <c r="B34" s="11" t="inlineStr">
        <is>
          <t>PTSD</t>
        </is>
      </c>
      <c r="C34" s="12">
        <f>IF(DATA!B12="T",2,0)+IF(DATA!B19="T",1,0)+IF(DATA!B33="T",2,0)+IF(DATA!B38="T",1,0)+IF(DATA!B47="T",1,0)+IF(DATA!B51="T",1,0)+IF(DATA!B59="T",1,0)+IF(DATA!B79="T",1,0)+IF(DATA!B86="T",1,0)+IF(DATA!B90="T",1,0)+IF(DATA!B95="T",1,0)+IF(DATA!B99="T",1,0)+IF(DATA!B110="T",1,0)+IF(DATA!B117="T",1,0)+IF(DATA!B121="T",1,0)+IF(DATA!B125="T",1,0)+IF(DATA!B139="T",1,0)</f>
        <v/>
      </c>
      <c r="D34" s="12">
        <f>MIN(115,MAX(0,ROUND(IF(C34&gt;=34,114+0.5*(C34-34),IF(C34&gt;=32,109+2.5*(C34-32),IF(C34&gt;=30,104+2.5*(C34-30),IF(C34&gt;=28,99+2.5*(C34-28),IF(C34&gt;=26,94+2.5*(C34-26),IF(C34&gt;=24,89+2.5*(C34-24),IF(C34&gt;=22,84+2.5*(C34-22),IF(C34&gt;=20,79+2.5*(C34-20),IF(C34&gt;=18,74+2.5*(C34-18),IF(C34&gt;=16,69+2.5*(C34-16),IF(C34&gt;=14,64+2.5*(C34-14),IF(C34&gt;=12,59+2.5*(C34-12),IF(C34&gt;=10,53+3.0*(C34-10),IF(C34&gt;=8,45+4.0*(C34-8),IF(C34&gt;=6,35+5.0*(C34-6),IF(C34&gt;=4,24+5.5*(C34-4),IF(C34&gt;=2,12+6.0*(C34-2),IF(C34&gt;=0,0+6.0*(C34-0),0)))))))))))))))))),0)))</f>
        <v/>
      </c>
      <c r="E34" s="11">
        <f>C42</f>
        <v/>
      </c>
      <c r="F34" s="12">
        <f>MIN(115,MAX(0,D34+E34))</f>
        <v/>
      </c>
      <c r="G34" s="11" t="n"/>
      <c r="H34" s="11">
        <f>IF(F34&gt;=85,"PROMINENT",IF(F34&gt;=75,"SIGNIFICANT",IF(F34&gt;=60,"Trait","Not Sig.")))</f>
        <v/>
      </c>
    </row>
    <row r="35">
      <c r="A35" s="10" t="inlineStr">
        <is>
          <t>SS</t>
        </is>
      </c>
      <c r="B35" s="11" t="inlineStr">
        <is>
          <t>Thought Disorder</t>
        </is>
      </c>
      <c r="C35" s="12">
        <f>IF(DATA!B19="T",1,0)+IF(DATA!B33="T",2,0)+IF(DATA!B38="T",1,0)+IF(DATA!B47="T",1,0)+IF(DATA!B51="T",1,0)+IF(DATA!B59="T",1,0)+IF(DATA!B75="T",2,0)+IF(DATA!B79="T",1,0)+IF(DATA!B86="T",1,0)+IF(DATA!B90="T",1,0)+IF(DATA!B95="T",1,0)+IF(DATA!B99="T",1,0)+IF(DATA!B103="T",1,0)+IF(DATA!B110="T",1,0)+IF(DATA!B117="T",1,0)+IF(DATA!B121="T",1,0)+IF(DATA!B125="T",1,0)+IF(DATA!B139="T",1,0)+IF(DATA!B178="T",2,0)</f>
        <v/>
      </c>
      <c r="D35" s="12">
        <f>MIN(115,MAX(0,ROUND(IF(C35&gt;=34,113+1.0*(C35-34),IF(C35&gt;=32,108+2.5*(C35-32),IF(C35&gt;=30,103+2.5*(C35-30),IF(C35&gt;=28,98+2.5*(C35-28),IF(C35&gt;=26,93+2.5*(C35-26),IF(C35&gt;=24,88+2.5*(C35-24),IF(C35&gt;=22,83+2.5*(C35-22),IF(C35&gt;=20,78+2.5*(C35-20),IF(C35&gt;=18,73+2.5*(C35-18),IF(C35&gt;=16,67+3.0*(C35-16),IF(C35&gt;=14,61+3.0*(C35-14),IF(C35&gt;=12,55+3.0*(C35-12),IF(C35&gt;=10,48+3.5*(C35-10),IF(C35&gt;=8,40+4.0*(C35-8),IF(C35&gt;=6,30+5.0*(C35-6),IF(C35&gt;=4,20+5.0*(C35-4),IF(C35&gt;=2,10+5.0*(C35-2),IF(C35&gt;=0,0+5.0*(C35-0),0)))))))))))))))))),0)))</f>
        <v/>
      </c>
      <c r="E35" s="11">
        <f>C42</f>
        <v/>
      </c>
      <c r="F35" s="12">
        <f>MIN(115,MAX(0,D35+E35+C44))</f>
        <v/>
      </c>
      <c r="G35" s="11" t="n"/>
      <c r="H35" s="11">
        <f>IF(F35&gt;=85,"PROMINENT",IF(F35&gt;=75,"SIGNIFICANT",IF(F35&gt;=60,"Trait","Not Sig.")))</f>
        <v/>
      </c>
    </row>
    <row r="36">
      <c r="A36" s="10" t="inlineStr">
        <is>
          <t>CC</t>
        </is>
      </c>
      <c r="B36" s="11" t="inlineStr">
        <is>
          <t>Major Depression</t>
        </is>
      </c>
      <c r="C36" s="12">
        <f>IF(DATA!B12="T",2,0)+IF(DATA!B19="T",1,0)+IF(DATA!B38="T",1,0)+IF(DATA!B47="T",1,0)+IF(DATA!B51="T",1,0)+IF(DATA!B53="T",1,0)+IF(DATA!B59="T",1,0)+IF(DATA!B79="T",1,0)+IF(DATA!B86="T",1,0)+IF(DATA!B90="T",1,0)+IF(DATA!B95="T",1,0)+IF(DATA!B99="T",1,0)+IF(DATA!B103="T",1,0)+IF(DATA!B110="T",1,0)+IF(DATA!B112="T",2,0)+IF(DATA!B125="T",1,0)+IF(DATA!B133="T",1,0)+IF(DATA!B139="T",1,0)+IF(DATA!B151="T",2,0)</f>
        <v/>
      </c>
      <c r="D36" s="12">
        <f>MIN(115,MAX(0,ROUND(IF(C36&gt;=34,113+1.0*(C36-34),IF(C36&gt;=32,108+2.5*(C36-32),IF(C36&gt;=30,103+2.5*(C36-30),IF(C36&gt;=28,98+2.5*(C36-28),IF(C36&gt;=26,93+2.5*(C36-26),IF(C36&gt;=24,88+2.5*(C36-24),IF(C36&gt;=22,83+2.5*(C36-22),IF(C36&gt;=20,78+2.5*(C36-20),IF(C36&gt;=18,73+2.5*(C36-18),IF(C36&gt;=16,67+3.0*(C36-16),IF(C36&gt;=14,61+3.0*(C36-14),IF(C36&gt;=12,55+3.0*(C36-12),IF(C36&gt;=10,48+3.5*(C36-10),IF(C36&gt;=8,40+4.0*(C36-8),IF(C36&gt;=6,30+5.0*(C36-6),IF(C36&gt;=4,20+5.0*(C36-4),IF(C36&gt;=2,10+5.0*(C36-2),IF(C36&gt;=0,0+5.0*(C36-0),0)))))))))))))))))),0)))</f>
        <v/>
      </c>
      <c r="E36" s="11">
        <f>C42</f>
        <v/>
      </c>
      <c r="F36" s="12">
        <f>MIN(115,MAX(0,D36+E36+C45))</f>
        <v/>
      </c>
      <c r="G36" s="11" t="n"/>
      <c r="H36" s="11">
        <f>IF(F36&gt;=85,"PROMINENT",IF(F36&gt;=75,"SIGNIFICANT",IF(F36&gt;=60,"Trait","Not Sig.")))</f>
        <v/>
      </c>
    </row>
    <row r="37">
      <c r="A37" s="10" t="inlineStr">
        <is>
          <t>PP</t>
        </is>
      </c>
      <c r="B37" s="11" t="inlineStr">
        <is>
          <t>Delusional</t>
        </is>
      </c>
      <c r="C37" s="12">
        <f>IF(DATA!B9="T",1,0)+IF(DATA!B11="T",1,0)+IF(DATA!B15="T",1,0)+IF(DATA!B20="T",1,0)+IF(DATA!B31="T",1,0)+IF(DATA!B32="T",1,0)+IF(DATA!B37="T",1,0)+IF(DATA!B50="T",1,0)+IF(DATA!B61="T",1,0)+IF(DATA!B66="T",1,0)+IF(DATA!B80="T",1,0)+IF(DATA!B88="T",1,0)+IF(DATA!B146="T",2,0)+IF(DATA!B178="T",2,0)</f>
        <v/>
      </c>
      <c r="D37" s="12">
        <f>MIN(115,MAX(0,ROUND(IF(C37&gt;=32,111+2.0*(C37-32),IF(C37&gt;=30,106+2.5*(C37-30),IF(C37&gt;=28,101+2.5*(C37-28),IF(C37&gt;=26,96+2.5*(C37-26),IF(C37&gt;=24,91+2.5*(C37-24),IF(C37&gt;=22,86+2.5*(C37-22),IF(C37&gt;=20,81+2.5*(C37-20),IF(C37&gt;=18,76+2.5*(C37-18),IF(C37&gt;=16,70+3.0*(C37-16),IF(C37&gt;=14,64+3.0*(C37-14),IF(C37&gt;=12,58+3.0*(C37-12),IF(C37&gt;=10,51+3.5*(C37-10),IF(C37&gt;=8,43+4.0*(C37-8),IF(C37&gt;=6,33+5.0*(C37-6),IF(C37&gt;=4,23+5.0*(C37-4),IF(C37&gt;=2,12+5.5*(C37-2),IF(C37&gt;=0,0+6.0*(C37-0),0))))))))))))))))),0)))</f>
        <v/>
      </c>
      <c r="E37" s="11">
        <f>C42</f>
        <v/>
      </c>
      <c r="F37" s="12">
        <f>MIN(115,MAX(0,D37+E37+C46))</f>
        <v/>
      </c>
      <c r="G37" s="11" t="n"/>
      <c r="H37" s="11">
        <f>IF(F37&gt;=85,"PROMINENT",IF(F37&gt;=75,"SIGNIFICANT",IF(F37&gt;=60,"Trait","Not Sig.")))</f>
        <v/>
      </c>
    </row>
    <row r="39">
      <c r="A39" s="8" t="inlineStr">
        <is>
          <t>X</t>
        </is>
      </c>
      <c r="B39" t="inlineStr">
        <is>
          <t>Disclosure Raw Score</t>
        </is>
      </c>
      <c r="C39" s="7">
        <f>ROUND(C14+C15+C16+C17+C18+C20+C21+C22+C23+C24+C19*2/3,0)</f>
        <v/>
      </c>
      <c r="D39">
        <f>IF(OR(C39&lt;34,C39&gt;178),"INVALID","OK: "&amp;C39)</f>
        <v/>
      </c>
    </row>
    <row r="41">
      <c r="A41" s="8" t="inlineStr">
        <is>
          <t>1-8B adj</t>
        </is>
      </c>
      <c r="C41">
        <f>IF(OR(C39&lt;34,C39&gt;178),0,IF(C39&lt;=60,IF(C39&lt;=37,20,IF(C39&lt;=38,19,IF(C39&lt;=39,18,IF(C39&lt;=41,17,IF(C39&lt;=42,16,IF(C39&lt;=43,15,IF(C39&lt;=44,14,IF(C39&lt;=45,13,IF(C39&lt;=46,12,IF(C39&lt;=47,11,IF(C39&lt;=48,10,IF(C39&lt;=50,9,IF(C39&lt;=51,8,IF(C39&lt;=52,7,IF(C39&lt;=53,6,IF(C39&lt;=54,5,IF(C39&lt;=55,4,IF(C39&lt;=56,3,IF(C39&lt;=58,2,IF(C39&lt;=59,1,IF(C39&lt;=60,1,0))))))))))))))))))))),IF(C39&lt;=123,0,IF(C39&lt;=125,-1,IF(C39&lt;=128,-2,IF(C39&lt;=130,-3,IF(C39&lt;=132,-4,IF(C39&lt;=134,-5,IF(C39&lt;=137,-6,IF(C39&lt;=139,-7,IF(C39&lt;=141,-8,IF(C39&lt;=144,-9,IF(C39&lt;=147,-10,IF(C39&lt;=151,-11,IF(C39&lt;=153,-12,IF(C39&lt;=156,-13,IF(C39&lt;=158,-14,IF(C39&lt;=161,-15,IF(C39&lt;=163,-16,IF(C39&lt;=166,-17,IF(C39&lt;=168,-18,IF(C39&lt;=171,-19,IF(C39&lt;=178,-20,-20)))))))))))))))))))))))</f>
        <v/>
      </c>
    </row>
    <row r="42">
      <c r="A42" s="8" t="inlineStr">
        <is>
          <t>S-PP adj</t>
        </is>
      </c>
      <c r="C42">
        <f>IF(OR(C39&lt;34,C39&gt;178),0,IF(C39&lt;=60,IF(C39&lt;=38,10,IF(C39&lt;=42,9,IF(C39&lt;=44,8,IF(C39&lt;=45,7,IF(C39&lt;=47,6,IF(C39&lt;=48,6,IF(C39&lt;=50,5,IF(C39&lt;=51,4,IF(C39&lt;=52,4,IF(C39&lt;=55,3,IF(C39&lt;=58,2,IF(C39&lt;=59,1,IF(C39&lt;=60,1,0))))))))))))),IF(C39&lt;=123,0,IF(C39&lt;=125,-1,IF(C39&lt;=128,-2,IF(C39&lt;=130,-2,IF(C39&lt;=132,-3,IF(C39&lt;=135,-4,IF(C39&lt;=139,-5,IF(C39&lt;=141,-5,IF(C39&lt;=144,-6,IF(C39&lt;=147,-7,IF(C39&lt;=150,-8,IF(C39&lt;=153,-9,IF(C39&lt;=156,-9,IF(C39&lt;=158,-10,IF(C39&lt;=161,-10,IF(C39&lt;=163,-11,IF(C39&lt;=166,-12,IF(C39&lt;=168,-12,IF(C39&lt;=171,-13,IF(C39&lt;=178,-14,-14))))))))))))))))))))))</f>
        <v/>
      </c>
    </row>
    <row r="44">
      <c r="A44" s="8" t="inlineStr">
        <is>
          <t>SS inp</t>
        </is>
      </c>
      <c r="C44">
        <f>IF(DATA!G1="IPD",IF(DATA!I1="",0,IF(DATA!I1&lt;1,6,IF(DATA!I1&lt;=4,4,0))),0)</f>
        <v/>
      </c>
    </row>
    <row r="45">
      <c r="A45" s="8" t="inlineStr">
        <is>
          <t>CC inp</t>
        </is>
      </c>
      <c r="C45">
        <f>IF(DATA!G1="IPD",IF(DATA!I1="",0,IF(DATA!I1&lt;1,10,IF(DATA!I1&lt;=4,8,0))),0)</f>
        <v/>
      </c>
    </row>
    <row r="46">
      <c r="A46" s="8" t="inlineStr">
        <is>
          <t>PP inp</t>
        </is>
      </c>
      <c r="C46">
        <f>IF(DATA!G1="IPD",IF(DATA!I1="",0,IF(DATA!I1&lt;1,4,IF(DATA!I1&lt;=4,2,0))),0)</f>
        <v/>
      </c>
    </row>
  </sheetData>
  <conditionalFormatting sqref="F12:F37">
    <cfRule type="cellIs" priority="1" operator="greaterThanOrEqual" dxfId="0">
      <formula>85</formula>
    </cfRule>
    <cfRule type="cellIs" priority="2" operator="between" dxfId="1">
      <formula>75</formula>
      <formula>84</formula>
    </cfRule>
    <cfRule type="cellIs" priority="3" operator="between" dxfId="2">
      <formula>60</formula>
      <formula>74</formula>
    </cfRule>
    <cfRule type="cellIs" priority="4" operator="lessThan" dxfId="3">
      <formula>60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2026-07-21T12:01:30Z</dcterms:created>
  <dcterms:modified xsi:type="dcterms:W3CDTF">2026-07-21T12:01:30Z</dcterms:modified>
</cp:coreProperties>
</file>